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stas/Library/Mobile Documents/com~apple~CloudDocs/ELPE Rest/Payroll/00_Excels for Payroll/"/>
    </mc:Choice>
  </mc:AlternateContent>
  <xr:revisionPtr revIDLastSave="0" documentId="13_ncr:1_{B68899BC-77A7-E24F-B315-0DD84A4E3667}" xr6:coauthVersionLast="47" xr6:coauthVersionMax="47" xr10:uidLastSave="{00000000-0000-0000-0000-000000000000}"/>
  <bookViews>
    <workbookView xWindow="20" yWindow="680" windowWidth="29400" windowHeight="16760" xr2:uid="{13E5C503-161E-9E4B-9D6D-E45CBD16ADA7}"/>
  </bookViews>
  <sheets>
    <sheet name="Calc" sheetId="1" r:id="rId1"/>
    <sheet name="Temp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E19" i="1" l="1"/>
  <c r="E6" i="1"/>
  <c r="E3" i="1"/>
  <c r="F17" i="1"/>
  <c r="D152" i="1" l="1"/>
  <c r="E167" i="1" s="1"/>
  <c r="E155" i="1"/>
  <c r="E200" i="1" s="1"/>
  <c r="E201" i="1"/>
  <c r="D153" i="1"/>
  <c r="E20" i="1"/>
  <c r="E202" i="1" s="1"/>
  <c r="E166" i="1" l="1"/>
  <c r="E186" i="1"/>
  <c r="E185" i="1"/>
  <c r="E187" i="1"/>
  <c r="E168" i="1"/>
  <c r="E57" i="1" l="1"/>
  <c r="E58" i="1" l="1"/>
  <c r="E7" i="1"/>
  <c r="E4" i="1" l="1"/>
  <c r="E9" i="1" s="1"/>
  <c r="E5" i="1" s="1"/>
  <c r="E10" i="1" l="1"/>
  <c r="E12" i="1" s="1"/>
  <c r="E54" i="1" s="1"/>
  <c r="D151" i="1" l="1"/>
  <c r="D149" i="1"/>
  <c r="E21" i="1"/>
  <c r="E199" i="1" s="1"/>
  <c r="E205" i="1" s="1"/>
  <c r="E182" i="1" l="1"/>
  <c r="E183" i="1" s="1"/>
  <c r="E29" i="1"/>
  <c r="E197" i="1"/>
  <c r="E61" i="1"/>
  <c r="E184" i="1"/>
  <c r="E165" i="1"/>
  <c r="E171" i="1" s="1"/>
  <c r="E16" i="1"/>
  <c r="E17" i="1"/>
  <c r="E36" i="1"/>
  <c r="E26" i="1"/>
  <c r="E48" i="1"/>
  <c r="E44" i="1"/>
  <c r="E40" i="1"/>
  <c r="E35" i="1"/>
  <c r="E32" i="1"/>
  <c r="E37" i="1"/>
  <c r="E31" i="1"/>
  <c r="E34" i="1"/>
  <c r="E49" i="1"/>
  <c r="E45" i="1"/>
  <c r="E41" i="1"/>
  <c r="E47" i="1"/>
  <c r="E43" i="1"/>
  <c r="E39" i="1"/>
  <c r="E27" i="1"/>
  <c r="E25" i="1"/>
  <c r="E30" i="1"/>
  <c r="D150" i="1"/>
  <c r="E15" i="1"/>
  <c r="E198" i="1" l="1"/>
  <c r="E206" i="1" s="1"/>
  <c r="E204" i="1"/>
  <c r="E188" i="1"/>
  <c r="E189" i="1" s="1"/>
  <c r="E176" i="1"/>
  <c r="E210" i="1"/>
  <c r="E191" i="1"/>
  <c r="E51" i="1"/>
  <c r="E163" i="1"/>
  <c r="E207" i="1" l="1"/>
  <c r="E70" i="1"/>
  <c r="C90" i="1" s="1"/>
  <c r="E164" i="1"/>
  <c r="E172" i="1" s="1"/>
  <c r="E170" i="1"/>
  <c r="E208" i="1"/>
  <c r="C132" i="1"/>
  <c r="C118" i="1"/>
  <c r="C121" i="1" s="1"/>
  <c r="C94" i="1" l="1"/>
  <c r="C96" i="1"/>
  <c r="C93" i="1"/>
  <c r="F93" i="1" s="1"/>
  <c r="C97" i="1"/>
  <c r="C98" i="1"/>
  <c r="H98" i="1" s="1"/>
  <c r="C95" i="1"/>
  <c r="E173" i="1"/>
  <c r="C138" i="1"/>
  <c r="C139" i="1"/>
  <c r="C140" i="1"/>
  <c r="C135" i="1"/>
  <c r="C136" i="1"/>
  <c r="C137" i="1"/>
  <c r="C126" i="1"/>
  <c r="H126" i="1" s="1"/>
  <c r="C123" i="1"/>
  <c r="H123" i="1" s="1"/>
  <c r="C124" i="1"/>
  <c r="F124" i="1" s="1"/>
  <c r="C122" i="1"/>
  <c r="E122" i="1" s="1"/>
  <c r="C125" i="1"/>
  <c r="E125" i="1" s="1"/>
  <c r="G121" i="1"/>
  <c r="D121" i="1"/>
  <c r="F121" i="1"/>
  <c r="E121" i="1"/>
  <c r="H121" i="1"/>
  <c r="H93" i="1"/>
  <c r="E94" i="1"/>
  <c r="D94" i="1"/>
  <c r="F94" i="1"/>
  <c r="D98" i="1" l="1"/>
  <c r="E93" i="1"/>
  <c r="G93" i="1"/>
  <c r="E98" i="1"/>
  <c r="D93" i="1"/>
  <c r="G98" i="1"/>
  <c r="F98" i="1"/>
  <c r="C104" i="1"/>
  <c r="E174" i="1"/>
  <c r="E123" i="1"/>
  <c r="H137" i="1"/>
  <c r="F137" i="1"/>
  <c r="D137" i="1"/>
  <c r="E137" i="1"/>
  <c r="G137" i="1"/>
  <c r="F123" i="1"/>
  <c r="D126" i="1"/>
  <c r="D139" i="1"/>
  <c r="E139" i="1"/>
  <c r="G139" i="1"/>
  <c r="H139" i="1"/>
  <c r="F139" i="1"/>
  <c r="D136" i="1"/>
  <c r="H136" i="1"/>
  <c r="F136" i="1"/>
  <c r="G136" i="1"/>
  <c r="E136" i="1"/>
  <c r="E126" i="1"/>
  <c r="G135" i="1"/>
  <c r="D135" i="1"/>
  <c r="H135" i="1"/>
  <c r="F135" i="1"/>
  <c r="E135" i="1"/>
  <c r="F126" i="1"/>
  <c r="D140" i="1"/>
  <c r="G140" i="1"/>
  <c r="E140" i="1"/>
  <c r="H140" i="1"/>
  <c r="F140" i="1"/>
  <c r="G126" i="1"/>
  <c r="E138" i="1"/>
  <c r="G138" i="1"/>
  <c r="D138" i="1"/>
  <c r="H138" i="1"/>
  <c r="F138" i="1"/>
  <c r="D124" i="1"/>
  <c r="H124" i="1"/>
  <c r="G123" i="1"/>
  <c r="G124" i="1"/>
  <c r="H122" i="1"/>
  <c r="G122" i="1"/>
  <c r="D122" i="1"/>
  <c r="D123" i="1"/>
  <c r="F122" i="1"/>
  <c r="E124" i="1"/>
  <c r="H125" i="1"/>
  <c r="D125" i="1"/>
  <c r="F125" i="1"/>
  <c r="G125" i="1"/>
  <c r="H94" i="1"/>
  <c r="G94" i="1"/>
  <c r="D95" i="1"/>
  <c r="F95" i="1"/>
  <c r="E95" i="1"/>
  <c r="G95" i="1"/>
  <c r="H95" i="1"/>
  <c r="E142" i="1" l="1"/>
  <c r="E143" i="1" s="1"/>
  <c r="E209" i="1" s="1"/>
  <c r="E211" i="1" s="1"/>
  <c r="E213" i="1" s="1"/>
  <c r="C107" i="1"/>
  <c r="C112" i="1"/>
  <c r="C108" i="1"/>
  <c r="C110" i="1"/>
  <c r="C111" i="1"/>
  <c r="C109" i="1"/>
  <c r="E128" i="1"/>
  <c r="E129" i="1" s="1"/>
  <c r="E190" i="1" s="1"/>
  <c r="E192" i="1" s="1"/>
  <c r="E194" i="1" s="1"/>
  <c r="G142" i="1"/>
  <c r="G143" i="1" s="1"/>
  <c r="F142" i="1"/>
  <c r="F143" i="1" s="1"/>
  <c r="H142" i="1"/>
  <c r="H143" i="1" s="1"/>
  <c r="D142" i="1"/>
  <c r="D143" i="1" s="1"/>
  <c r="G128" i="1"/>
  <c r="G129" i="1" s="1"/>
  <c r="F128" i="1"/>
  <c r="F129" i="1" s="1"/>
  <c r="D128" i="1"/>
  <c r="D129" i="1" s="1"/>
  <c r="H96" i="1"/>
  <c r="G96" i="1"/>
  <c r="E96" i="1"/>
  <c r="F96" i="1"/>
  <c r="D96" i="1"/>
  <c r="H108" i="1" l="1"/>
  <c r="F108" i="1"/>
  <c r="D108" i="1"/>
  <c r="E108" i="1"/>
  <c r="G108" i="1"/>
  <c r="D112" i="1"/>
  <c r="F112" i="1"/>
  <c r="E112" i="1"/>
  <c r="G112" i="1"/>
  <c r="H112" i="1"/>
  <c r="H107" i="1"/>
  <c r="G107" i="1"/>
  <c r="F107" i="1"/>
  <c r="D107" i="1"/>
  <c r="E107" i="1"/>
  <c r="H109" i="1"/>
  <c r="E109" i="1"/>
  <c r="G109" i="1"/>
  <c r="D109" i="1"/>
  <c r="F109" i="1"/>
  <c r="G111" i="1"/>
  <c r="G110" i="1"/>
  <c r="G114" i="1" l="1"/>
  <c r="G115" i="1" s="1"/>
  <c r="H110" i="1"/>
  <c r="H128" i="1" s="1"/>
  <c r="H129" i="1" s="1"/>
  <c r="F110" i="1"/>
  <c r="F111" i="1"/>
  <c r="D111" i="1"/>
  <c r="H111" i="1"/>
  <c r="E111" i="1"/>
  <c r="E110" i="1"/>
  <c r="D110" i="1"/>
  <c r="E114" i="1" l="1"/>
  <c r="D114" i="1"/>
  <c r="D115" i="1" s="1"/>
  <c r="F114" i="1"/>
  <c r="F115" i="1" s="1"/>
  <c r="E115" i="1"/>
  <c r="D97" i="1"/>
  <c r="D100" i="1" s="1"/>
  <c r="D101" i="1" s="1"/>
  <c r="H97" i="1"/>
  <c r="H100" i="1" s="1"/>
  <c r="H101" i="1" s="1"/>
  <c r="G97" i="1"/>
  <c r="G100" i="1" s="1"/>
  <c r="G101" i="1" s="1"/>
  <c r="E97" i="1"/>
  <c r="E100" i="1" s="1"/>
  <c r="E101" i="1" s="1"/>
  <c r="E56" i="1" s="1"/>
  <c r="E67" i="1" s="1"/>
  <c r="E74" i="1" s="1"/>
  <c r="F97" i="1"/>
  <c r="F100" i="1" s="1"/>
  <c r="F101" i="1" s="1"/>
  <c r="E175" i="1" l="1"/>
  <c r="E177" i="1" s="1"/>
  <c r="E179" i="1" s="1"/>
  <c r="H114" i="1"/>
  <c r="H11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Kostas</author>
    <author>Unit34Console</author>
    <author>Georgilas K.</author>
  </authors>
  <commentList>
    <comment ref="B15" authorId="0" shapeId="0" xr:uid="{3DE72B4B-953E-1942-A69C-4F3A556A9D8D}">
      <text>
        <r>
          <rPr>
            <b/>
            <sz val="10"/>
            <color rgb="FF000000"/>
            <rFont val="Aptos Narrow"/>
          </rPr>
          <t>Georgilas</t>
        </r>
        <r>
          <rPr>
            <sz val="10"/>
            <color rgb="FF000000"/>
            <rFont val="Aptos Narrow"/>
          </rPr>
          <t xml:space="preserve"> K.</t>
        </r>
        <r>
          <rPr>
            <b/>
            <sz val="10"/>
            <color rgb="FF000000"/>
            <rFont val="Tahoma"/>
            <family val="2"/>
            <charset val="161"/>
          </rPr>
          <t>:</t>
        </r>
        <r>
          <rPr>
            <sz val="10"/>
            <color rgb="FF000000"/>
            <rFont val="Tahoma"/>
            <family val="2"/>
            <charset val="161"/>
          </rPr>
          <t xml:space="preserve">
</t>
        </r>
        <r>
          <rPr>
            <sz val="10"/>
            <color rgb="FF000000"/>
            <rFont val="Tahoma"/>
            <family val="2"/>
            <charset val="161"/>
          </rPr>
          <t xml:space="preserve">39 (Ώρες Εβδομαδιαίως) 
</t>
        </r>
        <r>
          <rPr>
            <sz val="10"/>
            <color rgb="FF000000"/>
            <rFont val="Tahoma"/>
            <family val="2"/>
            <charset val="161"/>
          </rPr>
          <t xml:space="preserve">  /  6 (Ημέρες Εργασίας Εβδομαδιαίως)  
</t>
        </r>
        <r>
          <rPr>
            <sz val="10"/>
            <color rgb="FF000000"/>
            <rFont val="Tahoma"/>
            <family val="2"/>
            <charset val="161"/>
          </rPr>
          <t xml:space="preserve"> * 25 (Ημέρες Εργασίας Μηνιαίως) 
</t>
        </r>
        <r>
          <rPr>
            <sz val="10"/>
            <color rgb="FF000000"/>
            <rFont val="Tahoma"/>
            <family val="2"/>
            <charset val="161"/>
          </rPr>
          <t xml:space="preserve"> = 162,50 Ώρες Μισθού
</t>
        </r>
        <r>
          <rPr>
            <sz val="10"/>
            <color rgb="FF000000"/>
            <rFont val="Tahoma"/>
            <family val="2"/>
            <charset val="161"/>
          </rPr>
          <t>(δηλ. 162 Ώρες και 30 λεπτά της ώρας)</t>
        </r>
      </text>
    </comment>
    <comment ref="D149" authorId="1" shapeId="0" xr:uid="{4F26610A-2D88-4624-9546-CA5871FF1568}">
      <text>
        <r>
          <rPr>
            <b/>
            <sz val="9"/>
            <color rgb="FF000000"/>
            <rFont val="Tahoma"/>
            <family val="2"/>
            <charset val="161"/>
          </rPr>
          <t xml:space="preserve">Georgilas K. :
</t>
        </r>
        <r>
          <rPr>
            <sz val="9"/>
            <color rgb="FF000000"/>
            <rFont val="Tahoma"/>
            <family val="2"/>
            <charset val="161"/>
          </rPr>
          <t xml:space="preserve">
</t>
        </r>
        <r>
          <rPr>
            <sz val="9"/>
            <color rgb="FF000000"/>
            <rFont val="Tahoma"/>
            <family val="2"/>
            <charset val="161"/>
          </rPr>
          <t xml:space="preserve">Καταβαλλόμενες Αποδοχές
</t>
        </r>
        <r>
          <rPr>
            <sz val="9"/>
            <color rgb="FF000000"/>
            <rFont val="Tahoma"/>
            <family val="2"/>
            <charset val="161"/>
          </rPr>
          <t xml:space="preserve"> / 162,50</t>
        </r>
      </text>
    </comment>
    <comment ref="D150" authorId="1" shapeId="0" xr:uid="{C7E0C7B1-721F-46CA-B0FB-AD368E7F3970}">
      <text>
        <r>
          <rPr>
            <b/>
            <sz val="9"/>
            <color indexed="81"/>
            <rFont val="Tahoma"/>
            <family val="2"/>
            <charset val="161"/>
          </rPr>
          <t>Georgilas K. :</t>
        </r>
        <r>
          <rPr>
            <sz val="9"/>
            <color indexed="81"/>
            <rFont val="Tahoma"/>
            <family val="2"/>
            <charset val="161"/>
          </rPr>
          <t xml:space="preserve"> 
Ωρομίσθιο x  6,50 Ώρες Εργασίας Ημερησίως</t>
        </r>
      </text>
    </comment>
    <comment ref="D151" authorId="1" shapeId="0" xr:uid="{904BB8B4-AADF-4546-B8AB-4EBC969965D1}">
      <text>
        <r>
          <rPr>
            <b/>
            <sz val="9"/>
            <color rgb="FF000000"/>
            <rFont val="Tahoma"/>
            <family val="2"/>
            <charset val="161"/>
          </rPr>
          <t xml:space="preserve">Georgilas K. :
</t>
        </r>
        <r>
          <rPr>
            <sz val="9"/>
            <color rgb="FF000000"/>
            <rFont val="Tahoma"/>
            <family val="2"/>
            <charset val="161"/>
          </rPr>
          <t xml:space="preserve">
</t>
        </r>
        <r>
          <rPr>
            <sz val="9"/>
            <color rgb="FF000000"/>
            <rFont val="Tahoma"/>
            <family val="2"/>
            <charset val="161"/>
          </rPr>
          <t xml:space="preserve">Καταβαλλόμενες Αποδοχές
</t>
        </r>
        <r>
          <rPr>
            <sz val="9"/>
            <color rgb="FF000000"/>
            <rFont val="Tahoma"/>
            <family val="2"/>
            <charset val="161"/>
          </rPr>
          <t xml:space="preserve">+ Επίδομα Βάρδιας
</t>
        </r>
        <r>
          <rPr>
            <sz val="9"/>
            <color rgb="FF000000"/>
            <rFont val="Tahoma"/>
            <family val="2"/>
            <charset val="161"/>
          </rPr>
          <t xml:space="preserve">+ Επίδομα Αυξημένων Οικογενειακών Βαρών
</t>
        </r>
        <r>
          <rPr>
            <sz val="9"/>
            <color rgb="FF000000"/>
            <rFont val="Tahoma"/>
            <family val="2"/>
            <charset val="161"/>
          </rPr>
          <t xml:space="preserve"> / 162,50</t>
        </r>
      </text>
    </comment>
    <comment ref="E165" authorId="2" shapeId="0" xr:uid="{90C26113-439A-8E44-B0B8-6A6DAAB9EBE1}">
      <text>
        <r>
          <rPr>
            <b/>
            <sz val="10"/>
            <color rgb="FF000000"/>
            <rFont val="Tahoma"/>
            <family val="2"/>
            <charset val="161"/>
          </rPr>
          <t>Georgilas K.:</t>
        </r>
        <r>
          <rPr>
            <sz val="10"/>
            <color rgb="FF000000"/>
            <rFont val="Tahoma"/>
            <family val="2"/>
            <charset val="161"/>
          </rPr>
          <t xml:space="preserve">
</t>
        </r>
        <r>
          <rPr>
            <sz val="10"/>
            <color rgb="FF000000"/>
            <rFont val="Tahoma"/>
            <family val="2"/>
            <charset val="161"/>
          </rPr>
          <t xml:space="preserve">αλλος τυπος ειναι ο εξης :
</t>
        </r>
        <r>
          <rPr>
            <sz val="10"/>
            <color rgb="FF000000"/>
            <rFont val="Tahoma"/>
            <family val="2"/>
            <charset val="161"/>
          </rPr>
          <t xml:space="preserve"> 
</t>
        </r>
        <r>
          <rPr>
            <sz val="10"/>
            <color rgb="FF000000"/>
            <rFont val="Tahoma"/>
            <family val="2"/>
            <charset val="161"/>
          </rPr>
          <t xml:space="preserve">Δωρο Πασχα * 0,395 
</t>
        </r>
        <r>
          <rPr>
            <sz val="10"/>
            <color rgb="FF000000"/>
            <rFont val="Tahoma"/>
            <family val="2"/>
            <charset val="161"/>
          </rPr>
          <t xml:space="preserve">
</t>
        </r>
        <r>
          <rPr>
            <sz val="10"/>
            <color rgb="FF000000"/>
            <rFont val="Tahoma"/>
            <family val="2"/>
            <charset val="161"/>
          </rPr>
          <t>(λογω 39,5% επιδοματος βαρδιών)</t>
        </r>
      </text>
    </comment>
    <comment ref="E184" authorId="2" shapeId="0" xr:uid="{A37E665E-A217-E54B-A851-C3E73A06E6CB}">
      <text>
        <r>
          <rPr>
            <b/>
            <sz val="10"/>
            <color rgb="FF000000"/>
            <rFont val="Tahoma"/>
            <family val="2"/>
            <charset val="161"/>
          </rPr>
          <t>Georgilas K.:</t>
        </r>
        <r>
          <rPr>
            <sz val="10"/>
            <color rgb="FF000000"/>
            <rFont val="Tahoma"/>
            <family val="2"/>
            <charset val="161"/>
          </rPr>
          <t xml:space="preserve">
</t>
        </r>
        <r>
          <rPr>
            <sz val="10"/>
            <color rgb="FF000000"/>
            <rFont val="Aptos Narrow"/>
            <scheme val="minor"/>
          </rPr>
          <t>αλλος τυπος ειναι ο εξης :</t>
        </r>
        <r>
          <rPr>
            <sz val="4"/>
            <color rgb="FF000000"/>
            <rFont val="Aptos Narrow"/>
            <scheme val="minor"/>
          </rPr>
          <t xml:space="preserve">
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4"/>
            <color rgb="FF000000"/>
            <rFont val="Aptos Narrow"/>
            <scheme val="minor"/>
          </rPr>
          <t xml:space="preserve">
</t>
        </r>
        <r>
          <rPr>
            <sz val="10"/>
            <color rgb="FF000000"/>
            <rFont val="Aptos Narrow"/>
            <scheme val="minor"/>
          </rPr>
          <t xml:space="preserve">Επιδομα Αδειας * 0,395 </t>
        </r>
        <r>
          <rPr>
            <sz val="4"/>
            <color rgb="FF000000"/>
            <rFont val="Aptos Narrow"/>
            <scheme val="minor"/>
          </rPr>
          <t xml:space="preserve">
</t>
        </r>
        <r>
          <rPr>
            <sz val="10"/>
            <color rgb="FF000000"/>
            <rFont val="Aptos Narrow"/>
            <scheme val="minor"/>
          </rPr>
          <t>(λογω 39,5% επιδοματος βαρδιών)</t>
        </r>
      </text>
    </comment>
  </commentList>
</comments>
</file>

<file path=xl/sharedStrings.xml><?xml version="1.0" encoding="utf-8"?>
<sst xmlns="http://schemas.openxmlformats.org/spreadsheetml/2006/main" count="273" uniqueCount="172">
  <si>
    <t>ΚΛΙΜΑΚΙΑ</t>
  </si>
  <si>
    <t>Α</t>
  </si>
  <si>
    <t>Β</t>
  </si>
  <si>
    <t>Γ</t>
  </si>
  <si>
    <t>Δ</t>
  </si>
  <si>
    <t xml:space="preserve">ΜΙΣΘΟΛΟΓΙΚΟ ΚΛΙΜΑΚΙΟ		</t>
  </si>
  <si>
    <t>ΧΡΟΝΟΕΠΙΔΟΜΑ</t>
  </si>
  <si>
    <t>ΒΑΣΙΚΟΣ ΜΙΣΘΟΣ</t>
  </si>
  <si>
    <t>AΝΘΥΓΙΕΙΝΟ ΕΠΙΔΟΜA</t>
  </si>
  <si>
    <t>ΕΠΙΔΟΜΑ ΠΟΛΥΕΤΙΑΣ (ANA 5ETIA, πχ 5-10-15)</t>
  </si>
  <si>
    <t>ΠΡΟΣΑΥΞΗΣΕΙΣ ΜΙΣΘΟΥ</t>
  </si>
  <si>
    <t>ΚΑΤΑΒΑΛΟΜΕΝΕΣ ΑΠΟΔΟΧΕΣ</t>
  </si>
  <si>
    <t>ΥΠΟΛΟΓΙΣΜΟΣ ΑΠΟΔΟΧΩΝ</t>
  </si>
  <si>
    <t>ΕΠΙΔΟΜΑ ΒΑΡΔΙΑΣ ΑΠΟ ΚΑΝ. ΑΠΑΣΧ.(0201)</t>
  </si>
  <si>
    <t>ΩΡΕΣ</t>
  </si>
  <si>
    <t>ΗΜΕΡΗΣΙΑ ΑΠΟΖΗΜΙΩΣΗ ΤΡΟΦΗΣ ΚΑ (3009)</t>
  </si>
  <si>
    <t>ΠΡΟΣΑΥΞΗΣΕΙΣ ΒΑΡΔΙΑΣ (0412-0417). (39,5 %)</t>
  </si>
  <si>
    <t>ΕΦΚΑ ΙΚΑ ΤΕΑΜ ΒΑΡΕΑ + ΕΚ (106)</t>
  </si>
  <si>
    <t>ΦΟΡΟΛΟΓΙΚΗ ΚΛΙΜΑΚΑ 2026</t>
  </si>
  <si>
    <t>0-10.000</t>
  </si>
  <si>
    <t>10.001-20.000</t>
  </si>
  <si>
    <t>20.001-30.000</t>
  </si>
  <si>
    <t>30.001-40.000</t>
  </si>
  <si>
    <t>40.001-60.000</t>
  </si>
  <si>
    <t>60.001 +</t>
  </si>
  <si>
    <t>%</t>
  </si>
  <si>
    <t>ΕΩΣ 25 ΕΤΩΝ</t>
  </si>
  <si>
    <t>26-30 ΕΤΩΝ</t>
  </si>
  <si>
    <t>ΦΟΡΟΣ</t>
  </si>
  <si>
    <t>Π.Σ.Ε.Ε.Π.</t>
  </si>
  <si>
    <t>ΤΑΜΕΙΟ ΑΛΛΗΛΕΓΓΥΗΣ - ΑΠΕΡΓΙΑΚΟ ΤΑΜΕΙΟ (ΤΑΑΤ)</t>
  </si>
  <si>
    <t>ΙΑΤΡΟΦ.ΕΡΓΑΖ.ME ΜΕΛΟΣ ΑΝΗΛΙΚΟ (15,8 euro)</t>
  </si>
  <si>
    <t>ΙΑΤΡΟΦ.ΕΡΓΑΖ.ME ΜΕΛΟΣ ΕΝΗΛΙΚΟ (18,6 euro)</t>
  </si>
  <si>
    <t>ΩΡΟΜΙΣΘΙΟ</t>
  </si>
  <si>
    <t>ΗΜΕΡΟΜΙΣΘΙΟ</t>
  </si>
  <si>
    <t>ΕΡΓΑΣΙΑ ΜΗΝΟΣ-Μ (0001)</t>
  </si>
  <si>
    <t>ΑΠΟΔΟΧΕΣ ΚΑΝΟΝΙΚΗΣ ΑΔΕΙΑΣ (3001)</t>
  </si>
  <si>
    <t>ΔΙΚΑΙΟΛ. ΑΠΟΥΣ. ΜΕ ΑΠΟΔΟΧΕΣ</t>
  </si>
  <si>
    <t>ΜΙΚΤΑ</t>
  </si>
  <si>
    <t>**41**ΥΠΕΡΕΡΓΑΣΙΑ 20% (1102)</t>
  </si>
  <si>
    <t>**43**ΠΡΟΣ.ΥΠΕΡΕΡΓΑΣΙΑΣ ΝΥΚΤΑΣ 20% (1180)</t>
  </si>
  <si>
    <t>**45**ΠΡΟΣ.ΥΠΕΡΕΡΓΑΣΙΑΣ ΚΥΡΙΑΚΗΣ 20% (1185)</t>
  </si>
  <si>
    <t>ΠΡΟΣ.ΥΠΕΡΩΡΙΑΣ ΝΥΧΤΑΣ (1280)</t>
  </si>
  <si>
    <t>ΠΡΟΣ.ΥΠΕΡΩΡΙΑΣ ΚΥΡΙΑΚΗΣ</t>
  </si>
  <si>
    <t>ΠΡΟΣΑΥΞ. ΚΥΡΙΑΚΗΣ</t>
  </si>
  <si>
    <t>NAI</t>
  </si>
  <si>
    <t>OXI</t>
  </si>
  <si>
    <t>ΕΠΙΔΟΜΑ ΓΑΜΟΥ</t>
  </si>
  <si>
    <t>Ποσοστό Ασφαλισμένου (Εργαζόμενου): 16,82%</t>
  </si>
  <si>
    <t>ΚΡΑΤΗΣΗ ΔΑΝΕΙΟΥ</t>
  </si>
  <si>
    <t>EKO-KARTA</t>
  </si>
  <si>
    <t>ΥΠΟΛΟΓΙΣΜΟΣ ΦΟΡΟΥ</t>
  </si>
  <si>
    <t>Συντελεστής Φορολόγησης</t>
  </si>
  <si>
    <t>0 ΠΑΙΔΙA</t>
  </si>
  <si>
    <t>1 ΠΑΙΔΙ</t>
  </si>
  <si>
    <t>2 ΠΑΙΔΙΑ</t>
  </si>
  <si>
    <t>3 ΠΑΙΔΙΑ</t>
  </si>
  <si>
    <t>4+ ΠΑΙΔΙΑ</t>
  </si>
  <si>
    <t>0 -  10.000</t>
  </si>
  <si>
    <t>10.001 - 20.000</t>
  </si>
  <si>
    <t xml:space="preserve"> 20.001 - 30.000</t>
  </si>
  <si>
    <t xml:space="preserve">30.001 - 40.000 </t>
  </si>
  <si>
    <t xml:space="preserve">40.001 - 60.000 </t>
  </si>
  <si>
    <t>60.001 και άνω</t>
  </si>
  <si>
    <t>Φορολογητέες Αποδοχές €    2026</t>
  </si>
  <si>
    <t>ΕΠΙΔ.ΟΙΚ.ΒΑΡΩΝ ΑΠΟ ΚΑΝ.ΑΠΑΣΧ.</t>
  </si>
  <si>
    <t>}</t>
  </si>
  <si>
    <t>= MIKTA - ΕΦΚΑ</t>
  </si>
  <si>
    <t>κρατησεις / ετος</t>
  </si>
  <si>
    <t>ΕΤΗΣΙΟΣ ΦΟΡΟΣ</t>
  </si>
  <si>
    <r>
      <t>ΜΗΝΙΑΙΟΣ ΦΟΡΟΣ ME ΑΝΑΓΩΓΗ</t>
    </r>
    <r>
      <rPr>
        <b/>
        <sz val="12"/>
        <color rgb="FFFF0000"/>
        <rFont val="Aptos Narrow"/>
        <family val="2"/>
        <scheme val="minor"/>
      </rPr>
      <t xml:space="preserve"> (/17)</t>
    </r>
  </si>
  <si>
    <t>ΦΟΡΟΛΟΓΗΤΕΟ ΜΗΝΙΑΙΟ ΕΙΣΟΔΗΜΑ</t>
  </si>
  <si>
    <t>ΣΥΝΟΛΟ ΜΗΝΙΑΙΩΝ ΚΡΑΤΗΣΕΩΝ</t>
  </si>
  <si>
    <t>ΣΥΝΟΛΟ ΜΗΝΙΑΙΩΝ ΜΙΚΤΩΝ ΑΠΟΔΟΧΩΝ</t>
  </si>
  <si>
    <t>ΠΡΟΚΑΤΑΒΟΛΗ ΕΠΟΜΕΝΟΥ ΜΗΝΑ</t>
  </si>
  <si>
    <t>ΠΛΗΡΩΤΕΟ ΠΟΣΟ ΜΗΝΑ</t>
  </si>
  <si>
    <t>ΩΡΟΜΙΣΘΙΟ ΥΠΕΡΩΡΙΑΣ</t>
  </si>
  <si>
    <t>ετη εργασιας , μειον την τριετια 2012-2014</t>
  </si>
  <si>
    <t>11,36% επι του 8ου κλιμακίου για βαρδια Πρ-Απογ-Νυχ.</t>
  </si>
  <si>
    <t xml:space="preserve">Καταβαλλόμενες Αποδοχές  / 162,50 </t>
  </si>
  <si>
    <t>ΕΡΓΑΖΟΜΕΝΟΣ  30+ ΕΤΩΝ</t>
  </si>
  <si>
    <t>ΠΡΕΠΕΙ ΑΡΘΡΟΙΣΜΑ = 162,50 ΩΡΕΣ</t>
  </si>
  <si>
    <r>
      <t xml:space="preserve">Ωρομίσθιο </t>
    </r>
    <r>
      <rPr>
        <b/>
        <sz val="12"/>
        <color theme="1"/>
        <rFont val="Aptos Narrow"/>
        <family val="2"/>
        <scheme val="minor"/>
      </rPr>
      <t xml:space="preserve">x </t>
    </r>
    <r>
      <rPr>
        <sz val="12"/>
        <color theme="1"/>
        <rFont val="Aptos Narrow"/>
        <family val="2"/>
        <charset val="161"/>
        <scheme val="minor"/>
      </rPr>
      <t xml:space="preserve"> 6,50  Ώρες Εργασίας Ημερησίως</t>
    </r>
  </si>
  <si>
    <t>ΠΡΟΣΑΥΞΗΣΗ ΥΠΕΡΕΡΓΑΣΙΑΣ ΕΠΙΣΗΜΗΣ ΑΡΓΙΑΣ</t>
  </si>
  <si>
    <t>ΠΡΟΣΑΥΞΗΣΗ ΥΠΕΡΕΡΓΑΣΙΑΣ ΚΑΤ' ΕΘΙΜΟ</t>
  </si>
  <si>
    <r>
      <t>Ωρομισθιο Υπερωριων</t>
    </r>
    <r>
      <rPr>
        <b/>
        <sz val="12"/>
        <color theme="1"/>
        <rFont val="Aptos Narrow"/>
        <family val="2"/>
        <scheme val="minor"/>
      </rPr>
      <t xml:space="preserve"> x</t>
    </r>
    <r>
      <rPr>
        <sz val="12"/>
        <color theme="1"/>
        <rFont val="Aptos Narrow"/>
        <family val="2"/>
        <charset val="161"/>
        <scheme val="minor"/>
      </rPr>
      <t xml:space="preserve"> Ωρες</t>
    </r>
    <r>
      <rPr>
        <b/>
        <sz val="12"/>
        <color theme="1"/>
        <rFont val="Aptos Narrow"/>
        <family val="2"/>
        <scheme val="minor"/>
      </rPr>
      <t xml:space="preserve"> x </t>
    </r>
    <r>
      <rPr>
        <sz val="12"/>
        <color theme="1"/>
        <rFont val="Aptos Narrow"/>
        <family val="2"/>
        <charset val="161"/>
        <scheme val="minor"/>
      </rPr>
      <t>120%</t>
    </r>
  </si>
  <si>
    <r>
      <t>Ωρομισθιο Υπερωριων</t>
    </r>
    <r>
      <rPr>
        <b/>
        <sz val="12"/>
        <color theme="1"/>
        <rFont val="Aptos Narrow"/>
        <family val="2"/>
        <scheme val="minor"/>
      </rPr>
      <t xml:space="preserve"> x</t>
    </r>
    <r>
      <rPr>
        <sz val="12"/>
        <color theme="1"/>
        <rFont val="Aptos Narrow"/>
        <family val="2"/>
        <charset val="161"/>
        <scheme val="minor"/>
      </rPr>
      <t xml:space="preserve"> Ωρες </t>
    </r>
    <r>
      <rPr>
        <b/>
        <sz val="12"/>
        <color theme="1"/>
        <rFont val="Aptos Narrow"/>
        <family val="2"/>
        <scheme val="minor"/>
      </rPr>
      <t>x</t>
    </r>
    <r>
      <rPr>
        <sz val="12"/>
        <color theme="1"/>
        <rFont val="Aptos Narrow"/>
        <family val="2"/>
        <charset val="161"/>
        <scheme val="minor"/>
      </rPr>
      <t xml:space="preserve"> 120%</t>
    </r>
  </si>
  <si>
    <t>ΠΡΟΣΑΥΞΗΣΗ ΥΠΕΡΕΡΓΑΣΙΑΣ ΕΤΑΙΡΙΚΗΣ ΑΡΓΙΑΣ</t>
  </si>
  <si>
    <r>
      <rPr>
        <i/>
        <sz val="12"/>
        <rFont val="Aptos Narrow"/>
        <family val="2"/>
        <scheme val="minor"/>
      </rPr>
      <t>(επιπλεον στην Υπερεργασια)</t>
    </r>
    <r>
      <rPr>
        <sz val="12"/>
        <rFont val="Aptos Narrow"/>
        <family val="2"/>
        <charset val="161"/>
        <scheme val="minor"/>
      </rPr>
      <t xml:space="preserve"> Ωρομισθιο Υπερωριων </t>
    </r>
    <r>
      <rPr>
        <b/>
        <sz val="12"/>
        <rFont val="Aptos Narrow"/>
        <family val="2"/>
        <scheme val="minor"/>
      </rPr>
      <t>x</t>
    </r>
    <r>
      <rPr>
        <sz val="12"/>
        <rFont val="Aptos Narrow"/>
        <family val="2"/>
        <charset val="161"/>
        <scheme val="minor"/>
      </rPr>
      <t xml:space="preserve"> Ωρες </t>
    </r>
    <r>
      <rPr>
        <b/>
        <sz val="12"/>
        <rFont val="Aptos Narrow"/>
        <family val="2"/>
        <scheme val="minor"/>
      </rPr>
      <t>x</t>
    </r>
    <r>
      <rPr>
        <sz val="12"/>
        <rFont val="Aptos Narrow"/>
        <family val="2"/>
        <charset val="161"/>
        <scheme val="minor"/>
      </rPr>
      <t xml:space="preserve"> 120% </t>
    </r>
    <r>
      <rPr>
        <b/>
        <sz val="12"/>
        <rFont val="Aptos Narrow"/>
        <family val="2"/>
        <scheme val="minor"/>
      </rPr>
      <t>x</t>
    </r>
    <r>
      <rPr>
        <sz val="12"/>
        <rFont val="Aptos Narrow"/>
        <family val="2"/>
        <charset val="161"/>
        <scheme val="minor"/>
      </rPr>
      <t xml:space="preserve"> 175%</t>
    </r>
  </si>
  <si>
    <r>
      <rPr>
        <i/>
        <sz val="12"/>
        <rFont val="Aptos Narrow"/>
        <family val="2"/>
        <scheme val="minor"/>
      </rPr>
      <t xml:space="preserve">(επιπλεον στην Υπερεργασια) </t>
    </r>
    <r>
      <rPr>
        <sz val="12"/>
        <rFont val="Aptos Narrow"/>
        <family val="2"/>
        <charset val="161"/>
        <scheme val="minor"/>
      </rPr>
      <t xml:space="preserve">Ωρομισθιο Υπερωριων </t>
    </r>
    <r>
      <rPr>
        <b/>
        <sz val="12"/>
        <rFont val="Aptos Narrow"/>
        <family val="2"/>
        <scheme val="minor"/>
      </rPr>
      <t>x</t>
    </r>
    <r>
      <rPr>
        <sz val="12"/>
        <rFont val="Aptos Narrow"/>
        <family val="2"/>
        <charset val="161"/>
        <scheme val="minor"/>
      </rPr>
      <t xml:space="preserve"> Ωρες </t>
    </r>
    <r>
      <rPr>
        <b/>
        <sz val="12"/>
        <rFont val="Aptos Narrow"/>
        <family val="2"/>
        <scheme val="minor"/>
      </rPr>
      <t>x</t>
    </r>
    <r>
      <rPr>
        <sz val="12"/>
        <rFont val="Aptos Narrow"/>
        <family val="2"/>
        <charset val="161"/>
        <scheme val="minor"/>
      </rPr>
      <t xml:space="preserve"> 120% </t>
    </r>
    <r>
      <rPr>
        <b/>
        <sz val="12"/>
        <rFont val="Aptos Narrow"/>
        <family val="2"/>
        <scheme val="minor"/>
      </rPr>
      <t>x</t>
    </r>
    <r>
      <rPr>
        <sz val="12"/>
        <rFont val="Aptos Narrow"/>
        <family val="2"/>
        <charset val="161"/>
        <scheme val="minor"/>
      </rPr>
      <t xml:space="preserve"> 100%</t>
    </r>
  </si>
  <si>
    <r>
      <rPr>
        <i/>
        <sz val="12"/>
        <rFont val="Aptos Narrow"/>
        <family val="2"/>
        <scheme val="minor"/>
      </rPr>
      <t xml:space="preserve">(επιπλεον στην Υπερεργασια) </t>
    </r>
    <r>
      <rPr>
        <sz val="12"/>
        <rFont val="Aptos Narrow"/>
        <family val="2"/>
        <charset val="161"/>
        <scheme val="minor"/>
      </rPr>
      <t xml:space="preserve">Ωρομισθιο Υπερωριων </t>
    </r>
    <r>
      <rPr>
        <b/>
        <sz val="12"/>
        <rFont val="Aptos Narrow"/>
        <family val="2"/>
        <scheme val="minor"/>
      </rPr>
      <t>x</t>
    </r>
    <r>
      <rPr>
        <sz val="12"/>
        <rFont val="Aptos Narrow"/>
        <family val="2"/>
        <charset val="161"/>
        <scheme val="minor"/>
      </rPr>
      <t xml:space="preserve"> Ωρες </t>
    </r>
    <r>
      <rPr>
        <b/>
        <sz val="12"/>
        <rFont val="Aptos Narrow"/>
        <family val="2"/>
        <scheme val="minor"/>
      </rPr>
      <t>x</t>
    </r>
    <r>
      <rPr>
        <sz val="12"/>
        <rFont val="Aptos Narrow"/>
        <family val="2"/>
        <charset val="161"/>
        <scheme val="minor"/>
      </rPr>
      <t xml:space="preserve"> 120% </t>
    </r>
    <r>
      <rPr>
        <b/>
        <sz val="12"/>
        <rFont val="Aptos Narrow"/>
        <family val="2"/>
        <scheme val="minor"/>
      </rPr>
      <t>x</t>
    </r>
    <r>
      <rPr>
        <sz val="12"/>
        <rFont val="Aptos Narrow"/>
        <family val="2"/>
        <charset val="161"/>
        <scheme val="minor"/>
      </rPr>
      <t xml:space="preserve"> 75%</t>
    </r>
  </si>
  <si>
    <r>
      <t xml:space="preserve">ΠΡΟΣ.ΥΠΕΡΩΡΙΑΣ ΝΥΚΤΑΣ </t>
    </r>
    <r>
      <rPr>
        <b/>
        <sz val="12"/>
        <color theme="1"/>
        <rFont val="Aptos Narrow"/>
        <family val="2"/>
        <scheme val="minor"/>
      </rPr>
      <t>Χ.A</t>
    </r>
    <r>
      <rPr>
        <sz val="12"/>
        <color theme="1"/>
        <rFont val="Aptos Narrow"/>
        <family val="2"/>
        <charset val="161"/>
        <scheme val="minor"/>
      </rPr>
      <t>. 120% (80% εως 19/06/21)</t>
    </r>
  </si>
  <si>
    <r>
      <t>**51**ΥΠΕΡΩΡΙΑ</t>
    </r>
    <r>
      <rPr>
        <b/>
        <sz val="12"/>
        <color theme="1"/>
        <rFont val="Aptos Narrow"/>
        <family val="2"/>
        <scheme val="minor"/>
      </rPr>
      <t xml:space="preserve"> Χ.Α.</t>
    </r>
    <r>
      <rPr>
        <sz val="12"/>
        <color theme="1"/>
        <rFont val="Aptos Narrow"/>
        <family val="2"/>
        <charset val="161"/>
        <scheme val="minor"/>
      </rPr>
      <t xml:space="preserve"> 120% (1230)/(80% έως 19/06/21)</t>
    </r>
  </si>
  <si>
    <r>
      <t xml:space="preserve">ΥΠΕΡΩΡΙΑ </t>
    </r>
    <r>
      <rPr>
        <b/>
        <sz val="12"/>
        <color theme="1"/>
        <rFont val="Aptos Narrow"/>
        <family val="2"/>
        <scheme val="minor"/>
      </rPr>
      <t xml:space="preserve">Μ.Α. </t>
    </r>
    <r>
      <rPr>
        <sz val="12"/>
        <color theme="1"/>
        <rFont val="Aptos Narrow"/>
        <family val="2"/>
        <charset val="161"/>
        <scheme val="minor"/>
      </rPr>
      <t>1,4 1-150 (1201) / (1-48 εως 19/06/</t>
    </r>
  </si>
  <si>
    <r>
      <t>ΠΡΟΣΑΥΞΗΣΗ ΥΠΕΡΩΡΙAΣ ΕΠΙΣΗΜΗΣ ΑΡΓΙΑΣ</t>
    </r>
    <r>
      <rPr>
        <b/>
        <sz val="12"/>
        <color theme="1"/>
        <rFont val="Aptos Narrow"/>
        <family val="2"/>
        <scheme val="minor"/>
      </rPr>
      <t xml:space="preserve"> X. A</t>
    </r>
  </si>
  <si>
    <r>
      <rPr>
        <i/>
        <sz val="12"/>
        <color theme="1"/>
        <rFont val="Aptos Narrow"/>
        <family val="2"/>
        <scheme val="minor"/>
      </rPr>
      <t>(επιπλεον στην Υπερωρια)</t>
    </r>
    <r>
      <rPr>
        <sz val="12"/>
        <color theme="1"/>
        <rFont val="Aptos Narrow"/>
        <family val="2"/>
        <charset val="161"/>
        <scheme val="minor"/>
      </rPr>
      <t xml:space="preserve"> Ωρομισθιο Υπερωριων </t>
    </r>
    <r>
      <rPr>
        <b/>
        <sz val="12"/>
        <color theme="1"/>
        <rFont val="Aptos Narrow"/>
        <family val="2"/>
        <scheme val="minor"/>
      </rPr>
      <t>x</t>
    </r>
    <r>
      <rPr>
        <sz val="12"/>
        <color theme="1"/>
        <rFont val="Aptos Narrow"/>
        <family val="2"/>
        <charset val="161"/>
        <scheme val="minor"/>
      </rPr>
      <t xml:space="preserve"> Ωρες</t>
    </r>
    <r>
      <rPr>
        <b/>
        <sz val="12"/>
        <color theme="1"/>
        <rFont val="Aptos Narrow"/>
        <family val="2"/>
        <scheme val="minor"/>
      </rPr>
      <t xml:space="preserve"> x </t>
    </r>
    <r>
      <rPr>
        <sz val="12"/>
        <color theme="1"/>
        <rFont val="Aptos Narrow"/>
        <family val="2"/>
        <charset val="161"/>
        <scheme val="minor"/>
      </rPr>
      <t>180%</t>
    </r>
    <r>
      <rPr>
        <b/>
        <sz val="12"/>
        <color theme="1"/>
        <rFont val="Aptos Narrow"/>
        <family val="2"/>
        <scheme val="minor"/>
      </rPr>
      <t xml:space="preserve"> x </t>
    </r>
    <r>
      <rPr>
        <sz val="12"/>
        <color theme="1"/>
        <rFont val="Aptos Narrow"/>
        <family val="2"/>
        <charset val="161"/>
        <scheme val="minor"/>
      </rPr>
      <t>175%</t>
    </r>
  </si>
  <si>
    <r>
      <t xml:space="preserve">ΠΡΟΣΑΥΞΗΣΗ ΥΠΕΡΩΡΙAΣ ΚΑΤ' ΕΘΙΜΟ ΑΡΓΙΑΣ </t>
    </r>
    <r>
      <rPr>
        <b/>
        <sz val="12"/>
        <color theme="1"/>
        <rFont val="Aptos Narrow"/>
        <family val="2"/>
        <scheme val="minor"/>
      </rPr>
      <t>X. A.</t>
    </r>
  </si>
  <si>
    <r>
      <rPr>
        <i/>
        <sz val="12"/>
        <color theme="1"/>
        <rFont val="Aptos Narrow"/>
        <family val="2"/>
        <scheme val="minor"/>
      </rPr>
      <t>(επιπλεον στην Υπερωρια)</t>
    </r>
    <r>
      <rPr>
        <sz val="12"/>
        <color theme="1"/>
        <rFont val="Aptos Narrow"/>
        <family val="2"/>
        <charset val="161"/>
        <scheme val="minor"/>
      </rPr>
      <t xml:space="preserve"> Ωρομισθιο Υπερωριων </t>
    </r>
    <r>
      <rPr>
        <b/>
        <sz val="12"/>
        <color theme="1"/>
        <rFont val="Aptos Narrow"/>
        <family val="2"/>
        <scheme val="minor"/>
      </rPr>
      <t>x</t>
    </r>
    <r>
      <rPr>
        <sz val="12"/>
        <color theme="1"/>
        <rFont val="Aptos Narrow"/>
        <family val="2"/>
        <charset val="161"/>
        <scheme val="minor"/>
      </rPr>
      <t xml:space="preserve"> Ωρες</t>
    </r>
    <r>
      <rPr>
        <b/>
        <sz val="12"/>
        <color theme="1"/>
        <rFont val="Aptos Narrow"/>
        <family val="2"/>
        <scheme val="minor"/>
      </rPr>
      <t xml:space="preserve"> x </t>
    </r>
    <r>
      <rPr>
        <sz val="12"/>
        <color theme="1"/>
        <rFont val="Aptos Narrow"/>
        <family val="2"/>
        <charset val="161"/>
        <scheme val="minor"/>
      </rPr>
      <t>180%</t>
    </r>
    <r>
      <rPr>
        <b/>
        <sz val="12"/>
        <color theme="1"/>
        <rFont val="Aptos Narrow"/>
        <family val="2"/>
        <scheme val="minor"/>
      </rPr>
      <t xml:space="preserve"> x </t>
    </r>
    <r>
      <rPr>
        <sz val="12"/>
        <color theme="1"/>
        <rFont val="Aptos Narrow"/>
        <family val="2"/>
        <charset val="161"/>
        <scheme val="minor"/>
      </rPr>
      <t>100%</t>
    </r>
  </si>
  <si>
    <t>ΠΡΟΣΑΥΞΗΣΗ ΥΠΕΡΩΡΙAΣ ΕΤΑΙΡΙΚΗΣ ΑΡΓΙΑΣ</t>
  </si>
  <si>
    <r>
      <rPr>
        <i/>
        <sz val="12"/>
        <color theme="1"/>
        <rFont val="Aptos Narrow"/>
        <family val="2"/>
        <scheme val="minor"/>
      </rPr>
      <t>(επιπλεον στην Υπερωρια)</t>
    </r>
    <r>
      <rPr>
        <sz val="12"/>
        <color theme="1"/>
        <rFont val="Aptos Narrow"/>
        <family val="2"/>
        <charset val="161"/>
        <scheme val="minor"/>
      </rPr>
      <t xml:space="preserve"> Ωρομισθιο Υπερωριων </t>
    </r>
    <r>
      <rPr>
        <b/>
        <sz val="12"/>
        <color theme="1"/>
        <rFont val="Aptos Narrow"/>
        <family val="2"/>
        <scheme val="minor"/>
      </rPr>
      <t>x</t>
    </r>
    <r>
      <rPr>
        <sz val="12"/>
        <color theme="1"/>
        <rFont val="Aptos Narrow"/>
        <family val="2"/>
        <charset val="161"/>
        <scheme val="minor"/>
      </rPr>
      <t xml:space="preserve"> Ωρες</t>
    </r>
    <r>
      <rPr>
        <b/>
        <sz val="12"/>
        <color theme="1"/>
        <rFont val="Aptos Narrow"/>
        <family val="2"/>
        <scheme val="minor"/>
      </rPr>
      <t xml:space="preserve"> x </t>
    </r>
    <r>
      <rPr>
        <sz val="12"/>
        <color theme="1"/>
        <rFont val="Aptos Narrow"/>
        <family val="2"/>
        <charset val="161"/>
        <scheme val="minor"/>
      </rPr>
      <t>180%</t>
    </r>
    <r>
      <rPr>
        <b/>
        <sz val="12"/>
        <color theme="1"/>
        <rFont val="Aptos Narrow"/>
        <family val="2"/>
        <scheme val="minor"/>
      </rPr>
      <t xml:space="preserve"> x </t>
    </r>
    <r>
      <rPr>
        <sz val="12"/>
        <color theme="1"/>
        <rFont val="Aptos Narrow"/>
        <family val="2"/>
        <charset val="161"/>
        <scheme val="minor"/>
      </rPr>
      <t>75%</t>
    </r>
  </si>
  <si>
    <r>
      <t xml:space="preserve">Ωρομισθιο </t>
    </r>
    <r>
      <rPr>
        <b/>
        <sz val="12"/>
        <color theme="1"/>
        <rFont val="Aptos Narrow"/>
        <family val="2"/>
        <scheme val="minor"/>
      </rPr>
      <t xml:space="preserve"> x</t>
    </r>
    <r>
      <rPr>
        <sz val="12"/>
        <color theme="1"/>
        <rFont val="Aptos Narrow"/>
        <family val="2"/>
        <charset val="161"/>
        <scheme val="minor"/>
      </rPr>
      <t xml:space="preserve"> Ωρες</t>
    </r>
    <r>
      <rPr>
        <b/>
        <sz val="12"/>
        <color theme="1"/>
        <rFont val="Aptos Narrow"/>
        <family val="2"/>
        <scheme val="minor"/>
      </rPr>
      <t xml:space="preserve"> x </t>
    </r>
    <r>
      <rPr>
        <sz val="12"/>
        <color theme="1"/>
        <rFont val="Aptos Narrow"/>
        <family val="2"/>
        <scheme val="minor"/>
      </rPr>
      <t>75</t>
    </r>
    <r>
      <rPr>
        <sz val="12"/>
        <color theme="1"/>
        <rFont val="Aptos Narrow"/>
        <family val="2"/>
        <charset val="161"/>
        <scheme val="minor"/>
      </rPr>
      <t>%</t>
    </r>
  </si>
  <si>
    <r>
      <t>ΠΡΟΣΑΥΞΗΣΗ ΥΠΕΡΩΡΙAΣ ΚΥΡΙΑΚΗΣ</t>
    </r>
    <r>
      <rPr>
        <b/>
        <sz val="12"/>
        <color theme="1"/>
        <rFont val="Aptos Narrow"/>
        <family val="2"/>
        <scheme val="minor"/>
      </rPr>
      <t xml:space="preserve"> X. A</t>
    </r>
  </si>
  <si>
    <r>
      <rPr>
        <i/>
        <sz val="12"/>
        <color theme="1"/>
        <rFont val="Aptos Narrow"/>
        <family val="2"/>
        <scheme val="minor"/>
      </rPr>
      <t>(επιπλεον στην Υπερωρια)</t>
    </r>
    <r>
      <rPr>
        <sz val="12"/>
        <color theme="1"/>
        <rFont val="Aptos Narrow"/>
        <family val="2"/>
        <charset val="161"/>
        <scheme val="minor"/>
      </rPr>
      <t xml:space="preserve"> Ωρομισθιο Υπερωριων </t>
    </r>
    <r>
      <rPr>
        <b/>
        <sz val="12"/>
        <color theme="1"/>
        <rFont val="Aptos Narrow"/>
        <family val="2"/>
        <scheme val="minor"/>
      </rPr>
      <t>x</t>
    </r>
    <r>
      <rPr>
        <sz val="12"/>
        <color theme="1"/>
        <rFont val="Aptos Narrow"/>
        <family val="2"/>
        <charset val="161"/>
        <scheme val="minor"/>
      </rPr>
      <t xml:space="preserve"> Ωρες</t>
    </r>
    <r>
      <rPr>
        <b/>
        <sz val="12"/>
        <color theme="1"/>
        <rFont val="Aptos Narrow"/>
        <family val="2"/>
        <scheme val="minor"/>
      </rPr>
      <t xml:space="preserve"> x </t>
    </r>
    <r>
      <rPr>
        <sz val="12"/>
        <color theme="1"/>
        <rFont val="Aptos Narrow"/>
        <family val="2"/>
        <charset val="161"/>
        <scheme val="minor"/>
      </rPr>
      <t>140%</t>
    </r>
    <r>
      <rPr>
        <b/>
        <sz val="12"/>
        <color theme="1"/>
        <rFont val="Aptos Narrow"/>
        <family val="2"/>
        <scheme val="minor"/>
      </rPr>
      <t xml:space="preserve"> x 25</t>
    </r>
    <r>
      <rPr>
        <sz val="12"/>
        <color theme="1"/>
        <rFont val="Aptos Narrow"/>
        <family val="2"/>
        <charset val="161"/>
        <scheme val="minor"/>
      </rPr>
      <t>%</t>
    </r>
  </si>
  <si>
    <t>Drop Down Menus</t>
  </si>
  <si>
    <r>
      <rPr>
        <i/>
        <sz val="12"/>
        <color theme="1"/>
        <rFont val="Aptos Narrow"/>
        <family val="2"/>
        <scheme val="minor"/>
      </rPr>
      <t>(επιπλεον στην Υπερωρια)</t>
    </r>
    <r>
      <rPr>
        <sz val="12"/>
        <color theme="1"/>
        <rFont val="Aptos Narrow"/>
        <family val="2"/>
        <charset val="161"/>
        <scheme val="minor"/>
      </rPr>
      <t xml:space="preserve"> Ωρομισθιο Υπερωριων </t>
    </r>
    <r>
      <rPr>
        <b/>
        <sz val="12"/>
        <color theme="1"/>
        <rFont val="Aptos Narrow"/>
        <family val="2"/>
        <scheme val="minor"/>
      </rPr>
      <t>x</t>
    </r>
    <r>
      <rPr>
        <sz val="12"/>
        <color theme="1"/>
        <rFont val="Aptos Narrow"/>
        <family val="2"/>
        <charset val="161"/>
        <scheme val="minor"/>
      </rPr>
      <t xml:space="preserve"> Ωρες</t>
    </r>
    <r>
      <rPr>
        <b/>
        <sz val="12"/>
        <color theme="1"/>
        <rFont val="Aptos Narrow"/>
        <family val="2"/>
        <scheme val="minor"/>
      </rPr>
      <t xml:space="preserve"> x </t>
    </r>
    <r>
      <rPr>
        <sz val="12"/>
        <color theme="1"/>
        <rFont val="Aptos Narrow"/>
        <family val="2"/>
        <charset val="161"/>
        <scheme val="minor"/>
      </rPr>
      <t>180%</t>
    </r>
    <r>
      <rPr>
        <b/>
        <sz val="12"/>
        <color theme="1"/>
        <rFont val="Aptos Narrow"/>
        <family val="2"/>
        <scheme val="minor"/>
      </rPr>
      <t xml:space="preserve"> x 25</t>
    </r>
    <r>
      <rPr>
        <sz val="12"/>
        <color theme="1"/>
        <rFont val="Aptos Narrow"/>
        <family val="2"/>
        <charset val="161"/>
        <scheme val="minor"/>
      </rPr>
      <t>%</t>
    </r>
  </si>
  <si>
    <r>
      <rPr>
        <i/>
        <sz val="12"/>
        <rFont val="Aptos Narrow"/>
        <family val="2"/>
        <scheme val="minor"/>
      </rPr>
      <t xml:space="preserve">(επιπλεον στην Υπερεργασια) </t>
    </r>
    <r>
      <rPr>
        <sz val="12"/>
        <rFont val="Aptos Narrow"/>
        <family val="2"/>
        <charset val="161"/>
        <scheme val="minor"/>
      </rPr>
      <t xml:space="preserve">Ωρομισθιο Υπερωριων </t>
    </r>
    <r>
      <rPr>
        <b/>
        <sz val="12"/>
        <rFont val="Aptos Narrow"/>
        <family val="2"/>
        <scheme val="minor"/>
      </rPr>
      <t xml:space="preserve">x </t>
    </r>
    <r>
      <rPr>
        <sz val="12"/>
        <rFont val="Aptos Narrow"/>
        <family val="2"/>
        <charset val="161"/>
        <scheme val="minor"/>
      </rPr>
      <t xml:space="preserve">Ωρες </t>
    </r>
    <r>
      <rPr>
        <b/>
        <sz val="12"/>
        <rFont val="Aptos Narrow"/>
        <family val="2"/>
        <scheme val="minor"/>
      </rPr>
      <t>x</t>
    </r>
    <r>
      <rPr>
        <sz val="12"/>
        <rFont val="Aptos Narrow"/>
        <family val="2"/>
        <charset val="161"/>
        <scheme val="minor"/>
      </rPr>
      <t xml:space="preserve"> 120% </t>
    </r>
    <r>
      <rPr>
        <b/>
        <sz val="12"/>
        <rFont val="Aptos Narrow"/>
        <family val="2"/>
        <scheme val="minor"/>
      </rPr>
      <t xml:space="preserve">x </t>
    </r>
    <r>
      <rPr>
        <sz val="12"/>
        <rFont val="Aptos Narrow"/>
        <family val="2"/>
        <charset val="161"/>
        <scheme val="minor"/>
      </rPr>
      <t>25%</t>
    </r>
  </si>
  <si>
    <r>
      <rPr>
        <i/>
        <sz val="12"/>
        <color theme="1"/>
        <rFont val="Aptos Narrow"/>
        <family val="2"/>
        <scheme val="minor"/>
      </rPr>
      <t>(επιπλεον στην Υπερωρια)</t>
    </r>
    <r>
      <rPr>
        <sz val="12"/>
        <color theme="1"/>
        <rFont val="Aptos Narrow"/>
        <family val="2"/>
        <charset val="161"/>
        <scheme val="minor"/>
      </rPr>
      <t xml:space="preserve"> Ωρομισθιο Υπερωριων </t>
    </r>
    <r>
      <rPr>
        <b/>
        <sz val="12"/>
        <color theme="1"/>
        <rFont val="Aptos Narrow"/>
        <family val="2"/>
        <scheme val="minor"/>
      </rPr>
      <t>x</t>
    </r>
    <r>
      <rPr>
        <sz val="12"/>
        <color theme="1"/>
        <rFont val="Aptos Narrow"/>
        <family val="2"/>
        <charset val="161"/>
        <scheme val="minor"/>
      </rPr>
      <t xml:space="preserve"> Ωρες</t>
    </r>
    <r>
      <rPr>
        <b/>
        <sz val="12"/>
        <color theme="1"/>
        <rFont val="Aptos Narrow"/>
        <family val="2"/>
        <scheme val="minor"/>
      </rPr>
      <t xml:space="preserve"> x </t>
    </r>
    <r>
      <rPr>
        <sz val="12"/>
        <color theme="1"/>
        <rFont val="Aptos Narrow"/>
        <family val="2"/>
        <charset val="161"/>
        <scheme val="minor"/>
      </rPr>
      <t>140%</t>
    </r>
    <r>
      <rPr>
        <b/>
        <sz val="12"/>
        <color theme="1"/>
        <rFont val="Aptos Narrow"/>
        <family val="2"/>
        <scheme val="minor"/>
      </rPr>
      <t xml:space="preserve"> x </t>
    </r>
    <r>
      <rPr>
        <sz val="12"/>
        <color theme="1"/>
        <rFont val="Aptos Narrow"/>
        <family val="2"/>
        <charset val="161"/>
        <scheme val="minor"/>
      </rPr>
      <t>75%</t>
    </r>
  </si>
  <si>
    <r>
      <t>Ωρομισθιο Υπερωριων</t>
    </r>
    <r>
      <rPr>
        <b/>
        <sz val="12"/>
        <color theme="1"/>
        <rFont val="Aptos Narrow"/>
        <family val="2"/>
        <scheme val="minor"/>
      </rPr>
      <t xml:space="preserve"> x</t>
    </r>
    <r>
      <rPr>
        <sz val="12"/>
        <color theme="1"/>
        <rFont val="Aptos Narrow"/>
        <family val="2"/>
        <charset val="161"/>
        <scheme val="minor"/>
      </rPr>
      <t xml:space="preserve"> Ωρες</t>
    </r>
    <r>
      <rPr>
        <b/>
        <sz val="12"/>
        <color theme="1"/>
        <rFont val="Aptos Narrow"/>
        <family val="2"/>
        <scheme val="minor"/>
      </rPr>
      <t xml:space="preserve"> x </t>
    </r>
    <r>
      <rPr>
        <sz val="12"/>
        <color theme="1"/>
        <rFont val="Aptos Narrow"/>
        <family val="2"/>
        <scheme val="minor"/>
      </rPr>
      <t>140</t>
    </r>
    <r>
      <rPr>
        <sz val="12"/>
        <color theme="1"/>
        <rFont val="Aptos Narrow"/>
        <family val="2"/>
        <charset val="161"/>
        <scheme val="minor"/>
      </rPr>
      <t>%</t>
    </r>
  </si>
  <si>
    <t>ΠΡΟΣΑΥΞΗΣΗ ΥΠΕΡΩΡΙAΣ ΕΠΙΣΗΜΗΣ ΑΡΓΙΑΣ</t>
  </si>
  <si>
    <r>
      <rPr>
        <i/>
        <sz val="12"/>
        <color theme="1"/>
        <rFont val="Aptos Narrow"/>
        <family val="2"/>
        <scheme val="minor"/>
      </rPr>
      <t>(επιπλεον στην Υπερωρια)</t>
    </r>
    <r>
      <rPr>
        <sz val="12"/>
        <color theme="1"/>
        <rFont val="Aptos Narrow"/>
        <family val="2"/>
        <charset val="161"/>
        <scheme val="minor"/>
      </rPr>
      <t xml:space="preserve"> Ωρομισθιο Υπερωριων </t>
    </r>
    <r>
      <rPr>
        <b/>
        <sz val="12"/>
        <color theme="1"/>
        <rFont val="Aptos Narrow"/>
        <family val="2"/>
        <scheme val="minor"/>
      </rPr>
      <t>x</t>
    </r>
    <r>
      <rPr>
        <sz val="12"/>
        <color theme="1"/>
        <rFont val="Aptos Narrow"/>
        <family val="2"/>
        <charset val="161"/>
        <scheme val="minor"/>
      </rPr>
      <t xml:space="preserve"> Ωρες</t>
    </r>
    <r>
      <rPr>
        <b/>
        <sz val="12"/>
        <color theme="1"/>
        <rFont val="Aptos Narrow"/>
        <family val="2"/>
        <scheme val="minor"/>
      </rPr>
      <t xml:space="preserve"> x </t>
    </r>
    <r>
      <rPr>
        <sz val="12"/>
        <color theme="1"/>
        <rFont val="Aptos Narrow"/>
        <family val="2"/>
        <charset val="161"/>
        <scheme val="minor"/>
      </rPr>
      <t>140%</t>
    </r>
    <r>
      <rPr>
        <b/>
        <sz val="12"/>
        <color theme="1"/>
        <rFont val="Aptos Narrow"/>
        <family val="2"/>
        <scheme val="minor"/>
      </rPr>
      <t xml:space="preserve"> x </t>
    </r>
    <r>
      <rPr>
        <sz val="12"/>
        <color theme="1"/>
        <rFont val="Aptos Narrow"/>
        <family val="2"/>
        <charset val="161"/>
        <scheme val="minor"/>
      </rPr>
      <t>175%</t>
    </r>
  </si>
  <si>
    <t>ΠΡΟΣΑΥΞΗΣΗ ΥΠΕΡΩΡΙAΣ ΚΑΤ' ΕΘΙΜΟ ΑΡΓΙΑΣ</t>
  </si>
  <si>
    <r>
      <rPr>
        <i/>
        <sz val="12"/>
        <color theme="1"/>
        <rFont val="Aptos Narrow"/>
        <family val="2"/>
        <scheme val="minor"/>
      </rPr>
      <t>(επιπλεον στην Υπερωρια)</t>
    </r>
    <r>
      <rPr>
        <sz val="12"/>
        <color theme="1"/>
        <rFont val="Aptos Narrow"/>
        <family val="2"/>
        <charset val="161"/>
        <scheme val="minor"/>
      </rPr>
      <t xml:space="preserve"> Ωρομισθιο Υπερωριων </t>
    </r>
    <r>
      <rPr>
        <b/>
        <sz val="12"/>
        <color theme="1"/>
        <rFont val="Aptos Narrow"/>
        <family val="2"/>
        <scheme val="minor"/>
      </rPr>
      <t>x</t>
    </r>
    <r>
      <rPr>
        <sz val="12"/>
        <color theme="1"/>
        <rFont val="Aptos Narrow"/>
        <family val="2"/>
        <charset val="161"/>
        <scheme val="minor"/>
      </rPr>
      <t xml:space="preserve"> Ωρες</t>
    </r>
    <r>
      <rPr>
        <b/>
        <sz val="12"/>
        <color theme="1"/>
        <rFont val="Aptos Narrow"/>
        <family val="2"/>
        <scheme val="minor"/>
      </rPr>
      <t xml:space="preserve"> x </t>
    </r>
    <r>
      <rPr>
        <sz val="12"/>
        <color theme="1"/>
        <rFont val="Aptos Narrow"/>
        <family val="2"/>
        <charset val="161"/>
        <scheme val="minor"/>
      </rPr>
      <t>140%</t>
    </r>
    <r>
      <rPr>
        <b/>
        <sz val="12"/>
        <color theme="1"/>
        <rFont val="Aptos Narrow"/>
        <family val="2"/>
        <scheme val="minor"/>
      </rPr>
      <t xml:space="preserve"> x </t>
    </r>
    <r>
      <rPr>
        <sz val="12"/>
        <color theme="1"/>
        <rFont val="Aptos Narrow"/>
        <family val="2"/>
        <charset val="161"/>
        <scheme val="minor"/>
      </rPr>
      <t>100%</t>
    </r>
  </si>
  <si>
    <r>
      <t xml:space="preserve">ΠΡΟΣΑΥΞΗΣΗ ΥΠΕΡΩΡΙAΣ ΕΤΑΙΡΙΚΗΣ ΑΡΓΙΑΣ </t>
    </r>
    <r>
      <rPr>
        <b/>
        <sz val="12"/>
        <color theme="1"/>
        <rFont val="Aptos Narrow"/>
        <family val="2"/>
        <scheme val="minor"/>
      </rPr>
      <t xml:space="preserve"> X. A</t>
    </r>
  </si>
  <si>
    <t>ΠΡΟΣΑΥΞΗΣΗ ΝΥΧΤΑΣ</t>
  </si>
  <si>
    <r>
      <t xml:space="preserve">Ωρομισθιο </t>
    </r>
    <r>
      <rPr>
        <b/>
        <sz val="12"/>
        <color theme="1"/>
        <rFont val="Aptos Narrow"/>
        <family val="2"/>
        <scheme val="minor"/>
      </rPr>
      <t xml:space="preserve"> x</t>
    </r>
    <r>
      <rPr>
        <sz val="12"/>
        <color theme="1"/>
        <rFont val="Aptos Narrow"/>
        <family val="2"/>
        <charset val="161"/>
        <scheme val="minor"/>
      </rPr>
      <t xml:space="preserve"> Ωρες</t>
    </r>
    <r>
      <rPr>
        <b/>
        <sz val="12"/>
        <color theme="1"/>
        <rFont val="Aptos Narrow"/>
        <family val="2"/>
        <scheme val="minor"/>
      </rPr>
      <t xml:space="preserve"> x</t>
    </r>
    <r>
      <rPr>
        <sz val="12"/>
        <color theme="1"/>
        <rFont val="Aptos Narrow"/>
        <family val="2"/>
        <scheme val="minor"/>
      </rPr>
      <t xml:space="preserve"> 25</t>
    </r>
    <r>
      <rPr>
        <sz val="12"/>
        <color theme="1"/>
        <rFont val="Aptos Narrow"/>
        <family val="2"/>
        <charset val="161"/>
        <scheme val="minor"/>
      </rPr>
      <t>%</t>
    </r>
  </si>
  <si>
    <t>Ο ΜΗΝΙΑΙΟΣ ΦΟΡΟΣ είναι με αναγωγή στο ΣΥΝΟΛΟ 17 μισθών, μετά την αφαίρεση ΑΣΦΑΛΙΣΤΙΚΩΝ ΕΙΣΦΟΡΩΝ</t>
  </si>
  <si>
    <t xml:space="preserve"> (1-2 παιδιά x 29,35e //  3ο 32,39e //  4+ x 64,6e)</t>
  </si>
  <si>
    <t>ΠΡΟΣΑΥΞΗΣΕΙΣ ΔΩΡΟΥ ΠΑΣΧΑ ΒΑΡΔΙΑΣ</t>
  </si>
  <si>
    <t>ΔΩΡΟ ΠΑΣΧΑ</t>
  </si>
  <si>
    <t>ΗΜΕΡΟΜΙΣΘΙΑ ΥΠΟΛΟΓΙΣΜΟΥ ΠΑΣΧΑ (12,50)</t>
  </si>
  <si>
    <t>ΕΠΙΔΟΜΑ ΑΥΞ. ΟΙΚΟΓ/ΚΩΝ ΒΑΡΩΝ ΔΩΡΩΝ</t>
  </si>
  <si>
    <t>ΗΜΕΡΟΜΙΣΘΙΑ ΥΠΟΛΟΓΙΣΜΟΥ ΕΠΙΔΟΜΑΤΟΣ ΑΔΕΙΑΣ (15,50)</t>
  </si>
  <si>
    <t>ΕΠΙΔΟΜΑ ΑΔΕΙΑΣ</t>
  </si>
  <si>
    <t>ΠΡΟΣΑΥΞΗΣΕΙΣ Ε. Α. ΒΑΡΔΙΑΣ</t>
  </si>
  <si>
    <t>ΗΜΕΡΗΣΙΑ ΑΠΟΖΗΜΙΩΣΗ ΤΡΟΦΗΣ Ε. Α.</t>
  </si>
  <si>
    <t>ΗΜΕΡΗΣΙΑ ΑΠΟΖΗΜΙΩΣΗ ΤΡΟΦΗΣ Δ. Π</t>
  </si>
  <si>
    <t>ΕΠΙΔΟΜΑ ΒΑΡΔΙΑΣ Ε. Α.</t>
  </si>
  <si>
    <t>ΕΠΙΔΟΜΑ ΑΥΞ. ΟΙΚΟΓ/ΚΩΝ ΒΑΡΩΝ Ε. Α.</t>
  </si>
  <si>
    <t>ΔΩΡΟ ΧΡΙΣΤΟΥΓΕΝΝΩΝ</t>
  </si>
  <si>
    <t>ΠΡΟΣΑΥΞΗΣΕΙΣ ΔΩΡΟΥ ΧΡΙΣΤΟΥΓΕΝΝΩΝ</t>
  </si>
  <si>
    <t>ΠΡΟΣΑΥΞΗΣΕΙΣ ΔΩΡΟΥ ΧΡΙΣΤΟΥΓΕΝΝΩΝ ΒΑΡΔΙΑΣ</t>
  </si>
  <si>
    <t>ΗΜΕΡΗΣΙΑ ΑΠΟΖΗΜΙΩΣΗ ΤΡΟΦΗΣ Δ. Χ.</t>
  </si>
  <si>
    <t>ΗΜΕΡΗΣΙΑ ΑΠΟΖΗΜΙΩΣΗ ΤΡΟΦΗΣ</t>
  </si>
  <si>
    <t>???</t>
  </si>
  <si>
    <t>ΠΡΟΣΑΥΞΗΣΗ ΔΙΑΤΑΚΤΙΚΗΣ Δ. Π.</t>
  </si>
  <si>
    <t>ΠΡΟΣΑΥΞΗΣΗ ΔΩΡΟΥ ΠΑΣΧΑ ΑΠΌ Ε.Α. (ΔΩΡ. + ΕΠ.ΒΑΡΔ.)</t>
  </si>
  <si>
    <t>ΠΡΟΣΑΥΞΗΣΗ ΔΩΡΟΥ ΠΑΣΧΑ ΑΠΌ Ε.Α. Π</t>
  </si>
  <si>
    <t>ΠΡΟΣΑΥΞΗΣΗ ΔΩΡΟΥ ΠΑΣΧΑ ΑΠΌ Ε.Α.</t>
  </si>
  <si>
    <t>ΠΡΟΣΑΥΞΗΣΗ ΔΙΑΤΑΚΤΙΚΗΣ ΔΩΡΩΝ</t>
  </si>
  <si>
    <t>ΠΡΟΣΑΥΞΗΣΗ Δ. Χ. ΑΠΌ Ε.Α. (ΔΩΡ. + ΕΠ.ΒΑΡΔ.)</t>
  </si>
  <si>
    <t>ΠΡΟΣΑΥΞΗΣΗ Δ. Χ. ΑΠΌ Ε.Α. ΠΡΟΣΑΥΞΗΣΕΙΣ ΒΑΡΔΙΑΣ</t>
  </si>
  <si>
    <t xml:space="preserve">ΠΡΟΣΑΥΞΗΣΗ Δ. Χ. ΑΠΌ Ε.Α. </t>
  </si>
  <si>
    <t>ΠΟΣΟΣΤΟ ΠΡΟΣΑΥΞΗΣΕΩΝ Δ. Π.:</t>
  </si>
  <si>
    <t>ΠΟΣΟΣΤΟ ΠΡΟΣΑΥΞΗΣΕΩΝ ΕΠ. ΑΔ.:</t>
  </si>
  <si>
    <t>ΠΟΣΟΣΤΟ ΠΡΟΣΑΥΞΗΣΕΩΝ Δ. Χ.</t>
  </si>
  <si>
    <t>ΠΟΣΟΣΤΟ ΠΡΟΣΑΥΞΗΣΕΩΝ ΠΡΙΜ:</t>
  </si>
  <si>
    <t>ΠΡΟΣΑΥΞΗΣΕΙΣ Ε. Α</t>
  </si>
  <si>
    <t>ΣΥΝΤ/ΚΟ ΠΡΟΓΡΑΜΜΑ</t>
  </si>
  <si>
    <t>ΣΥΝΤ/ΚΟ ΠΡΟΓΡΑΜΜΑ   (ποσοστο %)</t>
  </si>
  <si>
    <r>
      <t>ΦΟΡΟΣ ΚΛΙΜΑΚΑΣ</t>
    </r>
    <r>
      <rPr>
        <b/>
        <sz val="12"/>
        <color rgb="FF00B050"/>
        <rFont val="Aptos Narrow"/>
        <family val="2"/>
        <scheme val="minor"/>
      </rPr>
      <t xml:space="preserve"> ΜΗΝΙΑΙΑΣ ΜΙΣΘΟΔΟΣΙΑΣ</t>
    </r>
  </si>
  <si>
    <t>Οι δωροεπιταγες ΑΒ, ΔΕΝ υπολογιζονται γιατι γινεται προσθαφαιρεση του ιδιου ποσού</t>
  </si>
  <si>
    <r>
      <t>ΑΝΑΓΩΓΗ ΦΟΡΟΥ ΓΙΑ ΤΟ ΔΩΡΟ ΠΑΣΧΑ ΣΤΟ ΕΤΟΣ</t>
    </r>
    <r>
      <rPr>
        <b/>
        <sz val="12"/>
        <color rgb="FFFF0000"/>
        <rFont val="Aptos Narrow (Κυρίως κείμενο)"/>
        <charset val="161"/>
      </rPr>
      <t xml:space="preserve"> (x17)</t>
    </r>
  </si>
  <si>
    <r>
      <t>ΦΟΡΟΣ ΚΛΙΜΑΚΑΣ</t>
    </r>
    <r>
      <rPr>
        <b/>
        <sz val="12"/>
        <color rgb="FF00B050"/>
        <rFont val="Aptos Narrow"/>
        <family val="2"/>
        <scheme val="minor"/>
      </rPr>
      <t xml:space="preserve"> ΕΠΙΔΟΜΑΤΟΣ ΑΔΕΙΑΣ </t>
    </r>
  </si>
  <si>
    <r>
      <t>ΑΝΑΓΩΓΗ ΦΟΡΟΥ ΓΙΑ ΤΟ ΕΠΙΔΟΜΑ ΑΔΕΙΑΣ  ΣΤΟ ΕΤΟΣ</t>
    </r>
    <r>
      <rPr>
        <b/>
        <sz val="12"/>
        <color rgb="FFFF0000"/>
        <rFont val="Aptos Narrow (Κυρίως κείμενο)"/>
        <charset val="161"/>
      </rPr>
      <t xml:space="preserve"> (x17)</t>
    </r>
  </si>
  <si>
    <r>
      <t>ΦΟΡΟΣ ΔΩΡΟΥ ΠΑΣΧΑ ME ΑΝΑΓΩΓΗ</t>
    </r>
    <r>
      <rPr>
        <b/>
        <sz val="12"/>
        <color rgb="FFFF0000"/>
        <rFont val="Aptos Narrow"/>
        <family val="2"/>
        <scheme val="minor"/>
      </rPr>
      <t xml:space="preserve"> (/17)</t>
    </r>
  </si>
  <si>
    <r>
      <t>ΦΟΡΟΣ ΕΠΙΔΟΜΑΤΟΣ ΑΔΕΙΑΣ ME ΑΝΑΓΩΓΗ</t>
    </r>
    <r>
      <rPr>
        <b/>
        <sz val="12"/>
        <color rgb="FFFF0000"/>
        <rFont val="Aptos Narrow"/>
        <family val="2"/>
        <scheme val="minor"/>
      </rPr>
      <t xml:space="preserve"> (/17)</t>
    </r>
  </si>
  <si>
    <r>
      <t xml:space="preserve">ΦΟΡΟΣ ΚΛΙΜΑΚΑΣ </t>
    </r>
    <r>
      <rPr>
        <b/>
        <sz val="12"/>
        <color rgb="FF00B050"/>
        <rFont val="Aptos Narrow (Κυρίως κείμενο)"/>
        <charset val="161"/>
      </rPr>
      <t>ΔΩΡΟΥ ΠΑΣΧΑ</t>
    </r>
  </si>
  <si>
    <r>
      <t>ΦΟΡΟΣ ΚΛΙΜΑΚΑΣ</t>
    </r>
    <r>
      <rPr>
        <b/>
        <sz val="12"/>
        <color rgb="FF00B050"/>
        <rFont val="Aptos Narrow"/>
        <family val="2"/>
        <scheme val="minor"/>
      </rPr>
      <t xml:space="preserve">  ΔΩΡΟΥ ΧΡΙΣΤΟΥΓΕΝΝΩΝ</t>
    </r>
  </si>
  <si>
    <r>
      <t>ΑΝΑΓΩΓΗ ΦΟΡΟΥ ΓΙΑ ΤΟ ΔΩΡΟ ΧΡΙΣΤΟΥΓΕΝΝΩΝ  ΣΤΟ ΕΤΟΣ</t>
    </r>
    <r>
      <rPr>
        <b/>
        <sz val="12"/>
        <color rgb="FFFF0000"/>
        <rFont val="Aptos Narrow (Κυρίως κείμενο)"/>
        <charset val="161"/>
      </rPr>
      <t xml:space="preserve"> (x17)</t>
    </r>
  </si>
  <si>
    <r>
      <t>ΦΟΡΟΣ  ΔΩΡΟΥ ΧΡΙΣΤΟΥΓΕΝΝΩΝ ME ΑΝΑΓΩΓΗ</t>
    </r>
    <r>
      <rPr>
        <b/>
        <sz val="12"/>
        <color rgb="FFFF0000"/>
        <rFont val="Aptos Narrow"/>
        <family val="2"/>
        <scheme val="minor"/>
      </rPr>
      <t xml:space="preserve"> (/17)</t>
    </r>
  </si>
  <si>
    <t xml:space="preserve">ΠΡΟΣΑΥΞΗΣΕΙΣ ΔΩΡΟΥ ΠΑΣΧΑ </t>
  </si>
  <si>
    <t>ΕΠΙΔΟΜΑ ΒΑΡΔΙΑΣ ΔΩΡΟΥ ΠΑΣΧΑ</t>
  </si>
  <si>
    <t>ΕΠΙΔΟΜΑ ΒΑΡΔΙΑΣ ΔΩΡΟΥ ΧΡΙΣΤΟΥΓΕΝΝΩΝ</t>
  </si>
  <si>
    <t>Καταβαλλόμενες Αποδοχές + Επίδ.Βάρδιας + Επίδ. Αυξημένων Οικογ. Βαρών / 162,5</t>
  </si>
  <si>
    <t>(δηλ. 162 Ώρες και 30 λεπτά της ώρας)</t>
  </si>
  <si>
    <r>
      <t xml:space="preserve">39 (Ώρες Εβδομαδιαίως)   /  6 (Ημέρες Εργασίας Εβδομαδιαίως)   * 25 (Ημέρες Εργασίας Μηνιαίως) 
 = </t>
    </r>
    <r>
      <rPr>
        <b/>
        <sz val="12"/>
        <color theme="1"/>
        <rFont val="Aptos Narrow"/>
        <scheme val="minor"/>
      </rPr>
      <t>162,50 Ώρες Μισθού</t>
    </r>
  </si>
  <si>
    <t>k.georgilas@gmail.com</t>
  </si>
  <si>
    <r>
      <t xml:space="preserve">Ωρες "ΑΠΟΔΟΧΕΣ ΚΑΝΟΝΙΚΗΣ ΑΔΕΙΑΣ", δια 6,66  Ώρες Εργασίας / Ημερα, επι </t>
    </r>
    <r>
      <rPr>
        <b/>
        <sz val="12"/>
        <color theme="1"/>
        <rFont val="Aptos Narrow"/>
        <scheme val="minor"/>
      </rPr>
      <t>5,40 €</t>
    </r>
  </si>
  <si>
    <r>
      <t xml:space="preserve">ΑΝΑΓΩΓΗ ΜΗΝΙΑΙΟΥ ΦΟΡΟΛΟΓ. ΕΙΣΟΔΗΜΑΤΟΣ ΣΤΟ ΕΤΟΣ  </t>
    </r>
    <r>
      <rPr>
        <b/>
        <sz val="12"/>
        <color rgb="FFFF0000"/>
        <rFont val="Aptos Narrow"/>
        <scheme val="minor"/>
      </rPr>
      <t xml:space="preserve"> (x17)</t>
    </r>
  </si>
  <si>
    <r>
      <t xml:space="preserve">ΑΝΑΓΩΓΗ ΔΩΡΟΥ ΠΑΣΧΑ  ΣΤΟ ΕΤΟΣ  </t>
    </r>
    <r>
      <rPr>
        <b/>
        <sz val="12"/>
        <color rgb="FFFF0000"/>
        <rFont val="Aptos Narrow"/>
        <scheme val="minor"/>
      </rPr>
      <t xml:space="preserve"> (x17)</t>
    </r>
  </si>
  <si>
    <r>
      <t xml:space="preserve">ΑΝΑΓΩΓΗ ΕΠΙΔΟΜΑΤΟΣ ΑΔΕΙΑΣ  ΣΤΟ ΕΤΟΣ  </t>
    </r>
    <r>
      <rPr>
        <b/>
        <sz val="12"/>
        <color rgb="FFFF0000"/>
        <rFont val="Aptos Narrow"/>
        <scheme val="minor"/>
      </rPr>
      <t xml:space="preserve"> (x17)</t>
    </r>
  </si>
  <si>
    <r>
      <t xml:space="preserve">ΑΝΑΓΩΓΗ ΔΩΡΟΥ ΧΡΙΣΤΟΥΓΕΝΝΩΝ ΣΤΟ ΕΤΟΣ  </t>
    </r>
    <r>
      <rPr>
        <b/>
        <sz val="12"/>
        <color rgb="FFFF0000"/>
        <rFont val="Aptos Narrow"/>
        <scheme val="minor"/>
      </rPr>
      <t xml:space="preserve"> (x17)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</si>
</sst>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\ &quot;€&quot;"/>
    <numFmt numFmtId="165" formatCode="_-* #,##0.00\ [$€-408]_-;\-* #,##0.00\ [$€-408]_-;_-* &quot;-&quot;??\ [$€-408]_-;_-@_-"/>
  </numFmts>
  <fonts count="49">
    <font>
      <sz val="12"/>
      <color theme="1"/>
      <name val="Aptos Narrow"/>
      <family val="2"/>
      <charset val="161"/>
      <scheme val="minor"/>
    </font>
    <font>
      <sz val="12"/>
      <color theme="1"/>
      <name val="Aptos Narrow"/>
      <family val="2"/>
      <charset val="161"/>
      <scheme val="minor"/>
    </font>
    <font>
      <sz val="10"/>
      <name val="Arial"/>
      <family val="2"/>
    </font>
    <font>
      <b/>
      <sz val="12"/>
      <color theme="1"/>
      <name val="Aptos Narrow"/>
      <scheme val="minor"/>
    </font>
    <font>
      <sz val="10"/>
      <color rgb="FF000000"/>
      <name val="Tahoma"/>
      <family val="2"/>
      <charset val="161"/>
    </font>
    <font>
      <b/>
      <sz val="10"/>
      <color rgb="FF000000"/>
      <name val="Tahoma"/>
      <family val="2"/>
      <charset val="161"/>
    </font>
    <font>
      <b/>
      <sz val="24"/>
      <color theme="1"/>
      <name val="Aptos Narrow"/>
      <scheme val="minor"/>
    </font>
    <font>
      <sz val="12"/>
      <color theme="1"/>
      <name val="Aptos Narrow"/>
      <scheme val="minor"/>
    </font>
    <font>
      <sz val="9"/>
      <color rgb="FFFF0000"/>
      <name val="Tahoma"/>
      <family val="2"/>
    </font>
    <font>
      <sz val="12"/>
      <color rgb="FFFF0000"/>
      <name val="Tahoma"/>
      <family val="2"/>
    </font>
    <font>
      <sz val="10"/>
      <color rgb="FF000000"/>
      <name val="Aptos Narrow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9"/>
      <color indexed="81"/>
      <name val="Tahoma"/>
      <family val="2"/>
      <charset val="161"/>
    </font>
    <font>
      <b/>
      <sz val="14"/>
      <color theme="1"/>
      <name val="Aptos Narrow"/>
      <family val="2"/>
      <scheme val="minor"/>
    </font>
    <font>
      <sz val="36"/>
      <color theme="1"/>
      <name val="Sitka Small"/>
      <charset val="161"/>
    </font>
    <font>
      <sz val="12"/>
      <color theme="1"/>
      <name val="Aptos Narrow"/>
      <family val="2"/>
      <scheme val="minor"/>
    </font>
    <font>
      <b/>
      <sz val="9"/>
      <color indexed="81"/>
      <name val="Tahoma"/>
      <family val="2"/>
      <charset val="161"/>
    </font>
    <font>
      <b/>
      <sz val="18"/>
      <color theme="1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sz val="12"/>
      <name val="Aptos Narrow"/>
      <family val="2"/>
      <charset val="161"/>
      <scheme val="minor"/>
    </font>
    <font>
      <b/>
      <sz val="12"/>
      <color rgb="FF0032A0"/>
      <name val="Aptos Narrow"/>
      <family val="2"/>
      <scheme val="minor"/>
    </font>
    <font>
      <sz val="12"/>
      <color rgb="FF0032A0"/>
      <name val="Aptos Narrow"/>
      <family val="2"/>
      <scheme val="minor"/>
    </font>
    <font>
      <b/>
      <sz val="12"/>
      <name val="Aptos Narrow"/>
      <family val="2"/>
      <scheme val="minor"/>
    </font>
    <font>
      <i/>
      <sz val="12"/>
      <name val="Aptos Narrow"/>
      <family val="2"/>
      <scheme val="minor"/>
    </font>
    <font>
      <sz val="12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sz val="14"/>
      <color rgb="FF000000"/>
      <name val="-webkit-standard"/>
    </font>
    <font>
      <b/>
      <sz val="12"/>
      <color rgb="FFFF0000"/>
      <name val="Aptos Narrow (Κυρίως κείμενο)"/>
      <charset val="161"/>
    </font>
    <font>
      <b/>
      <sz val="12"/>
      <color rgb="FF00B050"/>
      <name val="Aptos Narrow (Κυρίως κείμενο)"/>
      <charset val="161"/>
    </font>
    <font>
      <sz val="12"/>
      <color rgb="FFFF0000"/>
      <name val="Aptos Narrow"/>
      <family val="2"/>
      <charset val="161"/>
      <scheme val="minor"/>
    </font>
    <font>
      <u/>
      <sz val="12"/>
      <color theme="10"/>
      <name val="Aptos Narrow"/>
      <family val="2"/>
      <charset val="161"/>
      <scheme val="minor"/>
    </font>
    <font>
      <sz val="12"/>
      <color rgb="FFFF0000"/>
      <name val="Aptos Narrow"/>
      <scheme val="minor"/>
    </font>
    <font>
      <sz val="4"/>
      <color rgb="FF000000"/>
      <name val="Aptos Narrow"/>
      <scheme val="minor"/>
    </font>
    <font>
      <b/>
      <sz val="10"/>
      <color rgb="FF000000"/>
      <name val="Aptos Narrow"/>
    </font>
    <font>
      <sz val="10"/>
      <color rgb="FF000000"/>
      <name val="Aptos Narrow"/>
    </font>
    <font>
      <sz val="10"/>
      <color rgb="FF000000"/>
      <name val="Tahoma"/>
      <family val="2"/>
    </font>
    <font>
      <b/>
      <u/>
      <sz val="12"/>
      <color rgb="FF0070C0"/>
      <name val="Aptos Narrow"/>
      <scheme val="minor"/>
    </font>
    <font>
      <b/>
      <sz val="9"/>
      <color rgb="FF000000"/>
      <name val="Tahoma"/>
      <family val="2"/>
      <charset val="161"/>
    </font>
    <font>
      <sz val="9"/>
      <color rgb="FF000000"/>
      <name val="Tahoma"/>
      <family val="2"/>
      <charset val="161"/>
    </font>
    <font>
      <sz val="14"/>
      <color theme="1"/>
      <name val="Aptos Narrow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family val="2"/>
      <scheme val="minor"/>
    </font>
    <font>
      <b/>
      <sz val="12"/>
      <color rgb="FFFF0000"/>
      <name val="Aptos Narrow"/>
      <scheme val="minor"/>
    </font>
    <font>
      <b/>
      <u/>
      <sz val="16"/>
      <color theme="10"/>
      <name val="Aptos Narrow"/>
      <scheme val="minor"/>
    </font>
    <font>
      <b/>
      <sz val="16"/>
      <color theme="1"/>
      <name val="Aptos Narrow"/>
      <scheme val="minor"/>
    </font>
    <font>
      <b/>
      <sz val="24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0" fontId="33" fillId="0" borderId="0" applyNumberFormat="0" applyFill="0" applyBorder="0" applyAlignment="0" applyProtection="0"/>
  </cellStyleXfs>
  <cellXfs count="17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4" fontId="7" fillId="0" borderId="0" xfId="0" applyNumberFormat="1" applyFont="1"/>
    <xf numFmtId="0" fontId="8" fillId="0" borderId="0" xfId="0" applyFont="1" applyAlignment="1">
      <alignment horizontal="left" vertical="center" readingOrder="1"/>
    </xf>
    <xf numFmtId="0" fontId="0" fillId="0" borderId="6" xfId="0" applyBorder="1"/>
    <xf numFmtId="0" fontId="0" fillId="0" borderId="6" xfId="0" applyBorder="1" applyAlignment="1">
      <alignment horizontal="center"/>
    </xf>
    <xf numFmtId="165" fontId="0" fillId="0" borderId="6" xfId="1" applyNumberFormat="1" applyFont="1" applyBorder="1" applyAlignment="1">
      <alignment horizontal="right"/>
    </xf>
    <xf numFmtId="165" fontId="0" fillId="0" borderId="6" xfId="0" applyNumberFormat="1" applyBorder="1" applyAlignment="1">
      <alignment horizontal="right"/>
    </xf>
    <xf numFmtId="44" fontId="0" fillId="0" borderId="0" xfId="2" applyFont="1"/>
    <xf numFmtId="0" fontId="3" fillId="0" borderId="0" xfId="0" applyFont="1"/>
    <xf numFmtId="164" fontId="3" fillId="0" borderId="0" xfId="0" applyNumberFormat="1" applyFont="1"/>
    <xf numFmtId="0" fontId="0" fillId="2" borderId="0" xfId="0" applyFill="1"/>
    <xf numFmtId="164" fontId="3" fillId="2" borderId="0" xfId="0" applyNumberFormat="1" applyFont="1" applyFill="1"/>
    <xf numFmtId="10" fontId="0" fillId="0" borderId="0" xfId="0" applyNumberFormat="1"/>
    <xf numFmtId="0" fontId="6" fillId="0" borderId="0" xfId="0" applyFont="1" applyAlignment="1">
      <alignment horizontal="center"/>
    </xf>
    <xf numFmtId="164" fontId="0" fillId="0" borderId="0" xfId="2" applyNumberFormat="1" applyFont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center"/>
    </xf>
    <xf numFmtId="10" fontId="0" fillId="3" borderId="0" xfId="0" applyNumberFormat="1" applyFill="1"/>
    <xf numFmtId="164" fontId="0" fillId="3" borderId="0" xfId="0" applyNumberFormat="1" applyFill="1"/>
    <xf numFmtId="0" fontId="12" fillId="0" borderId="0" xfId="0" applyFont="1"/>
    <xf numFmtId="0" fontId="0" fillId="7" borderId="0" xfId="0" applyFill="1"/>
    <xf numFmtId="164" fontId="3" fillId="7" borderId="0" xfId="0" applyNumberFormat="1" applyFont="1" applyFill="1"/>
    <xf numFmtId="0" fontId="16" fillId="0" borderId="0" xfId="0" applyFont="1" applyAlignment="1">
      <alignment horizontal="right"/>
    </xf>
    <xf numFmtId="164" fontId="11" fillId="7" borderId="0" xfId="0" applyNumberFormat="1" applyFont="1" applyFill="1"/>
    <xf numFmtId="44" fontId="0" fillId="3" borderId="0" xfId="0" applyNumberFormat="1" applyFill="1"/>
    <xf numFmtId="0" fontId="11" fillId="2" borderId="0" xfId="0" applyFont="1" applyFill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6" fillId="0" borderId="0" xfId="0" applyFont="1"/>
    <xf numFmtId="9" fontId="22" fillId="0" borderId="11" xfId="0" applyNumberFormat="1" applyFont="1" applyBorder="1" applyAlignment="1">
      <alignment horizontal="center" vertical="center"/>
    </xf>
    <xf numFmtId="164" fontId="16" fillId="0" borderId="0" xfId="0" applyNumberFormat="1" applyFont="1"/>
    <xf numFmtId="164" fontId="22" fillId="0" borderId="7" xfId="0" applyNumberFormat="1" applyFont="1" applyBorder="1" applyAlignment="1">
      <alignment horizontal="center" vertical="center"/>
    </xf>
    <xf numFmtId="164" fontId="16" fillId="0" borderId="12" xfId="0" applyNumberFormat="1" applyFont="1" applyBorder="1"/>
    <xf numFmtId="164" fontId="16" fillId="0" borderId="9" xfId="0" applyNumberFormat="1" applyFont="1" applyBorder="1"/>
    <xf numFmtId="164" fontId="16" fillId="0" borderId="4" xfId="0" applyNumberFormat="1" applyFont="1" applyBorder="1"/>
    <xf numFmtId="164" fontId="16" fillId="0" borderId="10" xfId="0" applyNumberFormat="1" applyFont="1" applyBorder="1"/>
    <xf numFmtId="164" fontId="16" fillId="0" borderId="15" xfId="0" applyNumberFormat="1" applyFont="1" applyBorder="1"/>
    <xf numFmtId="164" fontId="16" fillId="0" borderId="13" xfId="0" applyNumberFormat="1" applyFont="1" applyBorder="1"/>
    <xf numFmtId="164" fontId="16" fillId="0" borderId="1" xfId="0" applyNumberFormat="1" applyFont="1" applyBorder="1"/>
    <xf numFmtId="164" fontId="16" fillId="0" borderId="2" xfId="0" applyNumberFormat="1" applyFont="1" applyBorder="1"/>
    <xf numFmtId="164" fontId="16" fillId="0" borderId="3" xfId="0" applyNumberFormat="1" applyFont="1" applyBorder="1"/>
    <xf numFmtId="164" fontId="16" fillId="0" borderId="16" xfId="0" applyNumberFormat="1" applyFont="1" applyBorder="1"/>
    <xf numFmtId="164" fontId="16" fillId="0" borderId="5" xfId="0" applyNumberFormat="1" applyFont="1" applyBorder="1"/>
    <xf numFmtId="0" fontId="22" fillId="0" borderId="7" xfId="0" applyFont="1" applyBorder="1" applyAlignment="1">
      <alignment horizontal="center" vertical="center"/>
    </xf>
    <xf numFmtId="164" fontId="16" fillId="0" borderId="14" xfId="0" applyNumberFormat="1" applyFont="1" applyBorder="1"/>
    <xf numFmtId="164" fontId="16" fillId="0" borderId="7" xfId="0" applyNumberFormat="1" applyFont="1" applyBorder="1"/>
    <xf numFmtId="164" fontId="16" fillId="0" borderId="8" xfId="0" applyNumberFormat="1" applyFont="1" applyBorder="1"/>
    <xf numFmtId="164" fontId="16" fillId="0" borderId="11" xfId="0" applyNumberFormat="1" applyFont="1" applyBorder="1"/>
    <xf numFmtId="0" fontId="25" fillId="0" borderId="0" xfId="0" applyFont="1"/>
    <xf numFmtId="44" fontId="0" fillId="0" borderId="0" xfId="0" applyNumberFormat="1"/>
    <xf numFmtId="0" fontId="12" fillId="0" borderId="0" xfId="0" applyFont="1" applyAlignment="1">
      <alignment horizontal="center"/>
    </xf>
    <xf numFmtId="0" fontId="0" fillId="11" borderId="0" xfId="0" applyFill="1"/>
    <xf numFmtId="10" fontId="0" fillId="0" borderId="0" xfId="0" applyNumberFormat="1" applyAlignment="1">
      <alignment horizontal="right"/>
    </xf>
    <xf numFmtId="164" fontId="11" fillId="2" borderId="0" xfId="0" applyNumberFormat="1" applyFont="1" applyFill="1"/>
    <xf numFmtId="0" fontId="0" fillId="0" borderId="0" xfId="0" applyAlignment="1">
      <alignment wrapText="1"/>
    </xf>
    <xf numFmtId="0" fontId="29" fillId="0" borderId="0" xfId="0" applyFont="1"/>
    <xf numFmtId="0" fontId="11" fillId="0" borderId="0" xfId="0" applyFont="1" applyAlignment="1">
      <alignment horizontal="left" vertical="center"/>
    </xf>
    <xf numFmtId="164" fontId="32" fillId="0" borderId="0" xfId="0" applyNumberFormat="1" applyFont="1"/>
    <xf numFmtId="164" fontId="34" fillId="0" borderId="0" xfId="0" applyNumberFormat="1" applyFont="1"/>
    <xf numFmtId="0" fontId="38" fillId="0" borderId="0" xfId="0" applyFont="1" applyAlignment="1">
      <alignment horizontal="left" vertical="center" readingOrder="1"/>
    </xf>
    <xf numFmtId="0" fontId="39" fillId="0" borderId="0" xfId="4" applyFont="1"/>
    <xf numFmtId="0" fontId="14" fillId="5" borderId="0" xfId="0" applyFont="1" applyFill="1" applyAlignment="1">
      <alignment horizontal="center"/>
    </xf>
    <xf numFmtId="44" fontId="15" fillId="0" borderId="12" xfId="2" applyFont="1" applyBorder="1" applyAlignment="1">
      <alignment horizontal="center"/>
    </xf>
    <xf numFmtId="0" fontId="21" fillId="0" borderId="1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164" fontId="22" fillId="0" borderId="16" xfId="0" applyNumberFormat="1" applyFont="1" applyBorder="1" applyAlignment="1">
      <alignment horizontal="center" vertical="center"/>
    </xf>
    <xf numFmtId="164" fontId="22" fillId="0" borderId="12" xfId="0" applyNumberFormat="1" applyFont="1" applyBorder="1" applyAlignment="1">
      <alignment horizontal="center" vertical="center"/>
    </xf>
    <xf numFmtId="164" fontId="22" fillId="0" borderId="1" xfId="0" applyNumberFormat="1" applyFont="1" applyBorder="1" applyAlignment="1">
      <alignment horizontal="center" vertical="center"/>
    </xf>
    <xf numFmtId="164" fontId="22" fillId="0" borderId="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top" wrapText="1"/>
    </xf>
    <xf numFmtId="0" fontId="21" fillId="0" borderId="2" xfId="0" applyFont="1" applyBorder="1" applyAlignment="1">
      <alignment horizontal="center" vertical="top" wrapText="1"/>
    </xf>
    <xf numFmtId="0" fontId="21" fillId="0" borderId="3" xfId="0" applyFont="1" applyBorder="1" applyAlignment="1">
      <alignment horizontal="center" vertical="top" wrapText="1"/>
    </xf>
    <xf numFmtId="0" fontId="11" fillId="9" borderId="9" xfId="0" applyFont="1" applyFill="1" applyBorder="1" applyAlignment="1">
      <alignment horizontal="center" vertical="center" wrapText="1"/>
    </xf>
    <xf numFmtId="0" fontId="11" fillId="9" borderId="15" xfId="0" applyFont="1" applyFill="1" applyBorder="1" applyAlignment="1">
      <alignment horizontal="center" vertical="center" wrapText="1"/>
    </xf>
    <xf numFmtId="0" fontId="11" fillId="9" borderId="16" xfId="0" applyFont="1" applyFill="1" applyBorder="1" applyAlignment="1">
      <alignment horizontal="center" vertical="center" wrapText="1"/>
    </xf>
    <xf numFmtId="0" fontId="11" fillId="9" borderId="12" xfId="0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9" fillId="8" borderId="1" xfId="0" applyFont="1" applyFill="1" applyBorder="1" applyAlignment="1">
      <alignment horizontal="center"/>
    </xf>
    <xf numFmtId="0" fontId="19" fillId="8" borderId="2" xfId="0" applyFont="1" applyFill="1" applyBorder="1" applyAlignment="1">
      <alignment horizontal="center"/>
    </xf>
    <xf numFmtId="0" fontId="19" fillId="8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7" fillId="10" borderId="0" xfId="0" applyFont="1" applyFill="1" applyAlignment="1">
      <alignment horizontal="center"/>
    </xf>
    <xf numFmtId="0" fontId="18" fillId="0" borderId="0" xfId="0" applyFont="1" applyFill="1" applyAlignment="1">
      <alignment horizontal="center" vertical="center"/>
    </xf>
    <xf numFmtId="0" fontId="7" fillId="0" borderId="9" xfId="0" applyFont="1" applyBorder="1" applyAlignment="1">
      <alignment wrapText="1"/>
    </xf>
    <xf numFmtId="0" fontId="7" fillId="0" borderId="10" xfId="0" applyFont="1" applyBorder="1" applyAlignment="1">
      <alignment wrapText="1"/>
    </xf>
    <xf numFmtId="0" fontId="0" fillId="3" borderId="10" xfId="0" applyFill="1" applyBorder="1"/>
    <xf numFmtId="164" fontId="7" fillId="0" borderId="15" xfId="0" applyNumberFormat="1" applyFont="1" applyBorder="1"/>
    <xf numFmtId="0" fontId="0" fillId="0" borderId="16" xfId="0" applyBorder="1"/>
    <xf numFmtId="0" fontId="0" fillId="0" borderId="0" xfId="0" applyBorder="1"/>
    <xf numFmtId="0" fontId="0" fillId="3" borderId="0" xfId="0" applyFill="1" applyBorder="1"/>
    <xf numFmtId="164" fontId="0" fillId="0" borderId="12" xfId="0" applyNumberFormat="1" applyBorder="1"/>
    <xf numFmtId="0" fontId="0" fillId="3" borderId="0" xfId="0" applyFill="1" applyBorder="1" applyAlignment="1">
      <alignment horizontal="center"/>
    </xf>
    <xf numFmtId="164" fontId="7" fillId="0" borderId="12" xfId="0" applyNumberFormat="1" applyFont="1" applyBorder="1"/>
    <xf numFmtId="0" fontId="0" fillId="0" borderId="12" xfId="0" applyBorder="1"/>
    <xf numFmtId="0" fontId="3" fillId="0" borderId="14" xfId="0" applyFont="1" applyBorder="1"/>
    <xf numFmtId="0" fontId="3" fillId="0" borderId="8" xfId="0" applyFont="1" applyBorder="1"/>
    <xf numFmtId="164" fontId="3" fillId="0" borderId="11" xfId="0" applyNumberFormat="1" applyFont="1" applyBorder="1"/>
    <xf numFmtId="0" fontId="0" fillId="0" borderId="0" xfId="0" applyBorder="1" applyAlignment="1">
      <alignment horizontal="center" vertical="top" wrapText="1"/>
    </xf>
    <xf numFmtId="0" fontId="0" fillId="0" borderId="9" xfId="0" applyBorder="1"/>
    <xf numFmtId="0" fontId="0" fillId="0" borderId="10" xfId="0" applyBorder="1" applyAlignment="1">
      <alignment horizontal="center"/>
    </xf>
    <xf numFmtId="164" fontId="0" fillId="0" borderId="15" xfId="0" applyNumberFormat="1" applyBorder="1"/>
    <xf numFmtId="0" fontId="0" fillId="0" borderId="0" xfId="0" applyBorder="1" applyAlignment="1">
      <alignment horizontal="center"/>
    </xf>
    <xf numFmtId="0" fontId="0" fillId="0" borderId="14" xfId="0" applyBorder="1"/>
    <xf numFmtId="0" fontId="0" fillId="0" borderId="8" xfId="0" applyBorder="1" applyAlignment="1">
      <alignment horizontal="center"/>
    </xf>
    <xf numFmtId="0" fontId="0" fillId="3" borderId="8" xfId="0" applyFill="1" applyBorder="1"/>
    <xf numFmtId="164" fontId="0" fillId="0" borderId="11" xfId="0" applyNumberFormat="1" applyBorder="1"/>
    <xf numFmtId="0" fontId="0" fillId="3" borderId="0" xfId="0" applyFill="1" applyBorder="1" applyAlignment="1">
      <alignment horizontal="right"/>
    </xf>
    <xf numFmtId="0" fontId="42" fillId="7" borderId="0" xfId="0" applyFont="1" applyFill="1"/>
    <xf numFmtId="0" fontId="43" fillId="7" borderId="0" xfId="0" applyFont="1" applyFill="1"/>
    <xf numFmtId="164" fontId="43" fillId="7" borderId="0" xfId="0" applyNumberFormat="1" applyFont="1" applyFill="1"/>
    <xf numFmtId="0" fontId="42" fillId="0" borderId="0" xfId="0" applyFont="1"/>
    <xf numFmtId="0" fontId="42" fillId="2" borderId="0" xfId="0" applyFont="1" applyFill="1"/>
    <xf numFmtId="0" fontId="43" fillId="2" borderId="0" xfId="0" applyFont="1" applyFill="1"/>
    <xf numFmtId="164" fontId="43" fillId="2" borderId="0" xfId="0" applyNumberFormat="1" applyFont="1" applyFill="1"/>
    <xf numFmtId="0" fontId="44" fillId="7" borderId="0" xfId="0" applyFont="1" applyFill="1"/>
    <xf numFmtId="0" fontId="14" fillId="7" borderId="0" xfId="0" applyFont="1" applyFill="1"/>
    <xf numFmtId="164" fontId="14" fillId="7" borderId="0" xfId="0" applyNumberFormat="1" applyFont="1" applyFill="1"/>
    <xf numFmtId="49" fontId="44" fillId="0" borderId="0" xfId="0" applyNumberFormat="1" applyFont="1" applyAlignment="1">
      <alignment horizontal="left"/>
    </xf>
    <xf numFmtId="0" fontId="44" fillId="0" borderId="0" xfId="0" applyFont="1"/>
    <xf numFmtId="0" fontId="44" fillId="6" borderId="0" xfId="0" applyFont="1" applyFill="1"/>
    <xf numFmtId="0" fontId="14" fillId="6" borderId="0" xfId="0" applyFont="1" applyFill="1"/>
    <xf numFmtId="0" fontId="14" fillId="6" borderId="2" xfId="0" applyFont="1" applyFill="1" applyBorder="1"/>
    <xf numFmtId="0" fontId="14" fillId="6" borderId="1" xfId="0" applyFont="1" applyFill="1" applyBorder="1"/>
    <xf numFmtId="164" fontId="14" fillId="6" borderId="3" xfId="0" applyNumberFormat="1" applyFont="1" applyFill="1" applyBorder="1"/>
    <xf numFmtId="0" fontId="16" fillId="12" borderId="0" xfId="0" applyFont="1" applyFill="1"/>
    <xf numFmtId="0" fontId="14" fillId="12" borderId="0" xfId="0" applyFont="1" applyFill="1" applyAlignment="1">
      <alignment horizontal="center"/>
    </xf>
    <xf numFmtId="0" fontId="0" fillId="12" borderId="0" xfId="0" applyFill="1"/>
    <xf numFmtId="0" fontId="3" fillId="0" borderId="0" xfId="0" applyFont="1" applyAlignment="1">
      <alignment horizontal="center" vertical="center"/>
    </xf>
    <xf numFmtId="0" fontId="16" fillId="12" borderId="0" xfId="0" applyFont="1" applyFill="1" applyAlignment="1">
      <alignment horizontal="right"/>
    </xf>
    <xf numFmtId="164" fontId="16" fillId="12" borderId="0" xfId="0" applyNumberFormat="1" applyFont="1" applyFill="1"/>
    <xf numFmtId="0" fontId="3" fillId="0" borderId="0" xfId="0" applyFont="1" applyAlignment="1">
      <alignment horizontal="right" vertical="center"/>
    </xf>
    <xf numFmtId="0" fontId="18" fillId="12" borderId="0" xfId="0" applyFont="1" applyFill="1" applyAlignment="1">
      <alignment horizontal="center"/>
    </xf>
    <xf numFmtId="0" fontId="9" fillId="0" borderId="10" xfId="0" applyFont="1" applyBorder="1" applyAlignment="1">
      <alignment horizontal="center" vertical="center" textRotation="45" readingOrder="1"/>
    </xf>
    <xf numFmtId="164" fontId="0" fillId="0" borderId="10" xfId="0" applyNumberFormat="1" applyBorder="1"/>
    <xf numFmtId="0" fontId="0" fillId="0" borderId="15" xfId="0" applyBorder="1"/>
    <xf numFmtId="0" fontId="9" fillId="0" borderId="0" xfId="0" applyFont="1" applyBorder="1" applyAlignment="1">
      <alignment horizontal="center" vertical="center" textRotation="45" readingOrder="1"/>
    </xf>
    <xf numFmtId="164" fontId="0" fillId="0" borderId="0" xfId="0" applyNumberFormat="1" applyBorder="1"/>
    <xf numFmtId="44" fontId="0" fillId="0" borderId="12" xfId="2" applyFont="1" applyBorder="1"/>
    <xf numFmtId="0" fontId="0" fillId="0" borderId="8" xfId="0" applyBorder="1"/>
    <xf numFmtId="0" fontId="0" fillId="0" borderId="11" xfId="0" applyBorder="1"/>
    <xf numFmtId="164" fontId="43" fillId="6" borderId="0" xfId="0" applyNumberFormat="1" applyFont="1" applyFill="1"/>
    <xf numFmtId="0" fontId="46" fillId="5" borderId="0" xfId="4" applyFont="1" applyFill="1" applyAlignment="1">
      <alignment horizontal="center"/>
    </xf>
    <xf numFmtId="0" fontId="47" fillId="5" borderId="0" xfId="0" applyFont="1" applyFill="1" applyAlignment="1">
      <alignment horizontal="center"/>
    </xf>
    <xf numFmtId="0" fontId="43" fillId="6" borderId="1" xfId="0" applyFont="1" applyFill="1" applyBorder="1"/>
    <xf numFmtId="0" fontId="43" fillId="6" borderId="2" xfId="0" applyFont="1" applyFill="1" applyBorder="1"/>
    <xf numFmtId="0" fontId="42" fillId="6" borderId="2" xfId="0" applyFont="1" applyFill="1" applyBorder="1"/>
    <xf numFmtId="164" fontId="43" fillId="6" borderId="3" xfId="0" applyNumberFormat="1" applyFont="1" applyFill="1" applyBorder="1"/>
    <xf numFmtId="0" fontId="48" fillId="8" borderId="0" xfId="0" applyFont="1" applyFill="1" applyAlignment="1">
      <alignment horizontal="center" vertical="center"/>
    </xf>
  </cellXfs>
  <cellStyles count="5">
    <cellStyle name="Κανονικό" xfId="0" builtinId="0"/>
    <cellStyle name="Κανονικό 2" xfId="3" xr:uid="{0C687A4E-8921-DD42-A02B-83F25ADB61B7}"/>
    <cellStyle name="Κόμμα" xfId="1" builtinId="3"/>
    <cellStyle name="Νομισματική μονάδα" xfId="2" builtinId="4"/>
    <cellStyle name="Υπερ-σύνδεση" xfId="4" builtinId="8"/>
  </cellStyles>
  <dxfs count="3">
    <dxf>
      <font>
        <color theme="1"/>
      </font>
      <numFmt numFmtId="2" formatCode="0.00"/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D02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254000</xdr:colOff>
      <xdr:row>0</xdr:row>
      <xdr:rowOff>0</xdr:rowOff>
    </xdr:from>
    <xdr:to>
      <xdr:col>4</xdr:col>
      <xdr:colOff>431800</xdr:colOff>
      <xdr:row>0</xdr:row>
      <xdr:rowOff>863600</xdr:rowOff>
    </xdr:to>
    <xdr:pic>
      <xdr:nvPicPr>
        <xdr:cNvPr id="3" name="Picture 488">
          <a:extLst>
            <a:ext uri="{FF2B5EF4-FFF2-40B4-BE49-F238E27FC236}">
              <a16:creationId xmlns:a16="http://schemas.microsoft.com/office/drawing/2014/main" id="{88F4C51E-9743-904E-90AB-A90C8C64C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473700" y="0"/>
          <a:ext cx="10414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mailto:k.georgilas@gmail.co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94FD-7451-B843-8A15-B64AD0136FCE}">
  <sheetPr>
    <tabColor rgb="FF92D050"/>
  </sheetPr>
  <dimension ref="A1:K248"/>
  <sheetViews>
    <sheetView tabSelected="1" topLeftCell="A9" zoomScaleNormal="100" workbookViewId="0">
      <selection activeCell="A25" sqref="A25:XFD25"/>
    </sheetView>
  </sheetViews>
  <sheetFormatPr baseColWidth="10" defaultColWidth="11" defaultRowHeight="16"/>
  <cols>
    <col min="1" max="1" width="1.83203125" customWidth="1"/>
    <col min="2" max="2" width="54.5" bestFit="1" customWidth="1"/>
    <col min="3" max="3" width="12.1640625" customWidth="1"/>
    <col min="4" max="7" width="11.33203125" customWidth="1"/>
    <col min="8" max="8" width="12.6640625" customWidth="1"/>
  </cols>
  <sheetData>
    <row r="1" spans="1:11" ht="70" customHeight="1">
      <c r="B1" s="173" t="s">
        <v>12</v>
      </c>
      <c r="C1" s="173"/>
      <c r="D1" s="108"/>
      <c r="E1" s="108"/>
      <c r="F1" s="15"/>
    </row>
    <row r="2" spans="1:11" ht="17" thickBot="1"/>
    <row r="3" spans="1:11" ht="17">
      <c r="A3" s="22"/>
      <c r="B3" s="109" t="s">
        <v>5</v>
      </c>
      <c r="C3" s="110"/>
      <c r="D3" s="111">
        <v>9</v>
      </c>
      <c r="E3" s="112">
        <f>LOOKUP(D3,C218:D244)</f>
        <v>1454.83</v>
      </c>
      <c r="F3" s="3"/>
    </row>
    <row r="4" spans="1:11">
      <c r="A4" s="22"/>
      <c r="B4" s="113" t="s">
        <v>6</v>
      </c>
      <c r="C4" s="114"/>
      <c r="D4" s="115">
        <v>14</v>
      </c>
      <c r="E4" s="116">
        <f>D4*2.5%*E3</f>
        <v>509.19050000000004</v>
      </c>
      <c r="F4" t="s">
        <v>77</v>
      </c>
    </row>
    <row r="5" spans="1:11">
      <c r="A5" s="22"/>
      <c r="B5" s="113" t="s">
        <v>47</v>
      </c>
      <c r="C5" s="114"/>
      <c r="D5" s="117" t="s">
        <v>45</v>
      </c>
      <c r="E5" s="116">
        <f>IF(D5="NAI",E9*10%,0)</f>
        <v>196.40205000000003</v>
      </c>
      <c r="F5" s="1"/>
    </row>
    <row r="6" spans="1:11">
      <c r="A6" s="22"/>
      <c r="B6" s="113" t="s">
        <v>8</v>
      </c>
      <c r="C6" s="114"/>
      <c r="D6" s="114"/>
      <c r="E6" s="116">
        <f>(D231*16.78%)</f>
        <v>239.08311799999998</v>
      </c>
      <c r="F6" s="1"/>
    </row>
    <row r="7" spans="1:11">
      <c r="A7" s="22"/>
      <c r="B7" s="113" t="s">
        <v>9</v>
      </c>
      <c r="C7" s="114"/>
      <c r="D7" s="115">
        <v>15</v>
      </c>
      <c r="E7" s="116">
        <f>IF(D7=5,(E3*2.5%),IF(D7=10,(E3*5%),IF(D7=15,(E3*7.5%),IF(D7=20,(E3*10%),IF(D7=25,(E3*12.5%),IF(D7=30,(E3*15%),IF(D7=0,0)))))))</f>
        <v>109.11224999999999</v>
      </c>
      <c r="F7" s="1"/>
    </row>
    <row r="8" spans="1:11">
      <c r="A8" s="22"/>
      <c r="B8" s="113"/>
      <c r="C8" s="114"/>
      <c r="D8" s="114"/>
      <c r="E8" s="116"/>
      <c r="F8" s="1"/>
    </row>
    <row r="9" spans="1:11">
      <c r="A9" s="22"/>
      <c r="B9" s="113" t="s">
        <v>7</v>
      </c>
      <c r="C9" s="114"/>
      <c r="D9" s="114"/>
      <c r="E9" s="118">
        <f>SUM(E3:E4)</f>
        <v>1964.0205000000001</v>
      </c>
      <c r="F9" s="3"/>
      <c r="J9" s="66"/>
    </row>
    <row r="10" spans="1:11">
      <c r="A10" s="22"/>
      <c r="B10" s="113" t="s">
        <v>10</v>
      </c>
      <c r="C10" s="114"/>
      <c r="D10" s="114"/>
      <c r="E10" s="116">
        <f>SUM(E5:E7)</f>
        <v>544.59741800000006</v>
      </c>
      <c r="F10" s="1"/>
      <c r="J10" s="66"/>
    </row>
    <row r="11" spans="1:11">
      <c r="A11" s="22"/>
      <c r="B11" s="113"/>
      <c r="C11" s="114"/>
      <c r="D11" s="114"/>
      <c r="E11" s="119"/>
      <c r="H11" s="69" t="s">
        <v>66</v>
      </c>
      <c r="J11" s="66"/>
    </row>
    <row r="12" spans="1:11" ht="17" thickBot="1">
      <c r="A12" s="22"/>
      <c r="B12" s="120" t="s">
        <v>11</v>
      </c>
      <c r="C12" s="121"/>
      <c r="D12" s="121"/>
      <c r="E12" s="122">
        <f>SUM(E9:E10)</f>
        <v>2508.6179179999999</v>
      </c>
      <c r="F12" s="11"/>
      <c r="H12" s="69"/>
    </row>
    <row r="13" spans="1:11">
      <c r="A13" s="22"/>
      <c r="B13" s="10"/>
      <c r="C13" s="10"/>
      <c r="D13" s="10"/>
      <c r="E13" s="11"/>
      <c r="F13" s="11"/>
      <c r="H13" s="69"/>
    </row>
    <row r="14" spans="1:11" ht="17" thickBot="1">
      <c r="A14" s="22"/>
    </row>
    <row r="15" spans="1:11" ht="15.75" customHeight="1">
      <c r="A15" s="22"/>
      <c r="B15" t="s">
        <v>35</v>
      </c>
      <c r="C15" s="2" t="s">
        <v>14</v>
      </c>
      <c r="D15" s="18">
        <v>162.5</v>
      </c>
      <c r="E15" s="9">
        <f>D149*D15</f>
        <v>2508.6179179999999</v>
      </c>
      <c r="F15" s="87" t="s">
        <v>81</v>
      </c>
      <c r="G15" s="88"/>
      <c r="H15" s="93" t="s">
        <v>165</v>
      </c>
      <c r="I15" s="94"/>
      <c r="J15" s="94"/>
      <c r="K15" s="95"/>
    </row>
    <row r="16" spans="1:11">
      <c r="A16" s="22"/>
      <c r="B16" t="s">
        <v>36</v>
      </c>
      <c r="C16" s="2" t="s">
        <v>14</v>
      </c>
      <c r="D16" s="17"/>
      <c r="E16" s="1">
        <f>D16*D149</f>
        <v>0</v>
      </c>
      <c r="F16" s="89"/>
      <c r="G16" s="90"/>
      <c r="H16" s="96"/>
      <c r="I16" s="123"/>
      <c r="J16" s="123"/>
      <c r="K16" s="97"/>
    </row>
    <row r="17" spans="1:11" ht="17" thickBot="1">
      <c r="A17" s="22"/>
      <c r="B17" t="s">
        <v>37</v>
      </c>
      <c r="C17" s="2" t="s">
        <v>14</v>
      </c>
      <c r="D17" s="17"/>
      <c r="E17" s="1">
        <f>D17*D149</f>
        <v>0</v>
      </c>
      <c r="F17" s="91">
        <f>SUM(D15:D17)</f>
        <v>162.5</v>
      </c>
      <c r="G17" s="92"/>
      <c r="H17" s="98"/>
      <c r="I17" s="99"/>
      <c r="J17" s="99"/>
      <c r="K17" s="100"/>
    </row>
    <row r="18" spans="1:11">
      <c r="A18" s="22"/>
      <c r="J18" s="66"/>
    </row>
    <row r="19" spans="1:11">
      <c r="A19" s="22"/>
      <c r="B19" t="s">
        <v>13</v>
      </c>
      <c r="C19" s="2" t="s">
        <v>14</v>
      </c>
      <c r="D19" s="2">
        <v>162.5</v>
      </c>
      <c r="E19" s="1">
        <f>(D229*11.36%)</f>
        <v>178.39062399999997</v>
      </c>
      <c r="F19" t="s">
        <v>78</v>
      </c>
      <c r="J19" s="66" t="s">
        <v>164</v>
      </c>
    </row>
    <row r="20" spans="1:11">
      <c r="A20" s="22"/>
      <c r="B20" t="s">
        <v>65</v>
      </c>
      <c r="D20" s="18">
        <v>1</v>
      </c>
      <c r="E20">
        <f>IF(D20=0,0)+IF(D20=1,29.35)+IF(D20=2,29.35*2)+IF(D20=3,29.35*2+32.39)+IF(D20=4,29.35*2+32.39+64.6)+IF(D20=5,29.35*2+32.39+64.6+64.6)</f>
        <v>29.35</v>
      </c>
      <c r="F20" t="s">
        <v>116</v>
      </c>
    </row>
    <row r="21" spans="1:11">
      <c r="A21" s="22"/>
      <c r="B21" t="s">
        <v>16</v>
      </c>
      <c r="E21" s="1">
        <f>(E12*39.5%)</f>
        <v>990.90407761000006</v>
      </c>
    </row>
    <row r="22" spans="1:11">
      <c r="A22" s="22"/>
      <c r="E22" s="1"/>
    </row>
    <row r="23" spans="1:11">
      <c r="A23" s="22"/>
      <c r="B23" t="s">
        <v>15</v>
      </c>
      <c r="C23" s="2"/>
      <c r="E23" s="1">
        <f>D16/6.66*D155</f>
        <v>0</v>
      </c>
      <c r="F23" t="s">
        <v>167</v>
      </c>
    </row>
    <row r="24" spans="1:11" ht="17" thickBot="1">
      <c r="A24" s="22"/>
      <c r="D24" s="21"/>
      <c r="E24" s="1"/>
      <c r="F24" s="21"/>
    </row>
    <row r="25" spans="1:11">
      <c r="A25" s="22"/>
      <c r="B25" s="124" t="s">
        <v>39</v>
      </c>
      <c r="C25" s="125" t="s">
        <v>14</v>
      </c>
      <c r="D25" s="111">
        <v>0</v>
      </c>
      <c r="E25" s="126">
        <f>(D151*D25)*120%</f>
        <v>0</v>
      </c>
      <c r="F25" t="s">
        <v>85</v>
      </c>
    </row>
    <row r="26" spans="1:11">
      <c r="A26" s="22"/>
      <c r="B26" s="113" t="s">
        <v>93</v>
      </c>
      <c r="C26" s="127" t="s">
        <v>14</v>
      </c>
      <c r="D26" s="115">
        <v>0</v>
      </c>
      <c r="E26" s="116">
        <f>D26*D151*140%</f>
        <v>0</v>
      </c>
      <c r="F26" t="s">
        <v>107</v>
      </c>
    </row>
    <row r="27" spans="1:11" ht="17" thickBot="1">
      <c r="A27" s="22"/>
      <c r="B27" s="128" t="s">
        <v>92</v>
      </c>
      <c r="C27" s="129" t="s">
        <v>14</v>
      </c>
      <c r="D27" s="130">
        <v>0</v>
      </c>
      <c r="E27" s="131">
        <f>(D151*D27)*120%</f>
        <v>0</v>
      </c>
      <c r="F27" t="s">
        <v>86</v>
      </c>
    </row>
    <row r="28" spans="1:11" ht="17" thickBot="1">
      <c r="A28" s="22"/>
    </row>
    <row r="29" spans="1:11">
      <c r="A29" s="22"/>
      <c r="B29" s="124" t="s">
        <v>113</v>
      </c>
      <c r="C29" s="125" t="s">
        <v>14</v>
      </c>
      <c r="D29" s="111">
        <v>0</v>
      </c>
      <c r="E29" s="126">
        <f>D29*D149*25%</f>
        <v>0</v>
      </c>
      <c r="F29" t="s">
        <v>114</v>
      </c>
    </row>
    <row r="30" spans="1:11">
      <c r="A30" s="22"/>
      <c r="B30" s="113" t="s">
        <v>40</v>
      </c>
      <c r="C30" s="127" t="s">
        <v>14</v>
      </c>
      <c r="D30" s="115">
        <v>0</v>
      </c>
      <c r="E30" s="116">
        <f>(D151*D30)*120%*25%</f>
        <v>0</v>
      </c>
      <c r="F30" s="55" t="s">
        <v>105</v>
      </c>
    </row>
    <row r="31" spans="1:11">
      <c r="A31" s="22"/>
      <c r="B31" s="113" t="s">
        <v>42</v>
      </c>
      <c r="C31" s="127" t="s">
        <v>14</v>
      </c>
      <c r="D31" s="115">
        <v>0</v>
      </c>
      <c r="E31" s="116">
        <f>(D151*D31)*140%*25%</f>
        <v>0</v>
      </c>
      <c r="F31" s="35" t="s">
        <v>102</v>
      </c>
    </row>
    <row r="32" spans="1:11" ht="17" thickBot="1">
      <c r="A32" s="22"/>
      <c r="B32" s="128" t="s">
        <v>91</v>
      </c>
      <c r="C32" s="129" t="s">
        <v>14</v>
      </c>
      <c r="D32" s="130">
        <v>0</v>
      </c>
      <c r="E32" s="131">
        <f>(D151*D32)*180%*25%</f>
        <v>0</v>
      </c>
      <c r="F32" s="35" t="s">
        <v>104</v>
      </c>
    </row>
    <row r="33" spans="1:6" ht="17" thickBot="1">
      <c r="A33" s="22"/>
      <c r="C33" s="2"/>
      <c r="D33" s="2"/>
      <c r="E33" s="1"/>
    </row>
    <row r="34" spans="1:6">
      <c r="A34" s="22"/>
      <c r="B34" s="124" t="s">
        <v>44</v>
      </c>
      <c r="C34" s="125" t="s">
        <v>14</v>
      </c>
      <c r="D34" s="111">
        <v>0</v>
      </c>
      <c r="E34" s="126">
        <f>D34*D149*75%</f>
        <v>0</v>
      </c>
      <c r="F34" t="s">
        <v>100</v>
      </c>
    </row>
    <row r="35" spans="1:6">
      <c r="A35" s="22"/>
      <c r="B35" s="113" t="s">
        <v>41</v>
      </c>
      <c r="C35" s="127" t="s">
        <v>14</v>
      </c>
      <c r="D35" s="115">
        <v>0</v>
      </c>
      <c r="E35" s="116">
        <f>(D151*D35)*120%*75%</f>
        <v>0</v>
      </c>
      <c r="F35" s="55" t="s">
        <v>90</v>
      </c>
    </row>
    <row r="36" spans="1:6">
      <c r="A36" s="22"/>
      <c r="B36" s="113" t="s">
        <v>43</v>
      </c>
      <c r="C36" s="127" t="s">
        <v>14</v>
      </c>
      <c r="D36" s="115">
        <v>0</v>
      </c>
      <c r="E36" s="116">
        <f>(D151*D36)*140%*75%</f>
        <v>0</v>
      </c>
      <c r="F36" s="35" t="s">
        <v>106</v>
      </c>
    </row>
    <row r="37" spans="1:6" ht="17" thickBot="1">
      <c r="A37" s="22"/>
      <c r="B37" s="128" t="s">
        <v>101</v>
      </c>
      <c r="C37" s="129" t="s">
        <v>14</v>
      </c>
      <c r="D37" s="130">
        <v>0</v>
      </c>
      <c r="E37" s="131">
        <f>(D151*D37)*180%*75%</f>
        <v>0</v>
      </c>
      <c r="F37" s="35" t="s">
        <v>99</v>
      </c>
    </row>
    <row r="38" spans="1:6" ht="17" thickBot="1">
      <c r="A38" s="22"/>
      <c r="C38" s="2"/>
      <c r="E38" s="1"/>
    </row>
    <row r="39" spans="1:6">
      <c r="A39" s="22"/>
      <c r="B39" s="124" t="s">
        <v>83</v>
      </c>
      <c r="C39" s="125" t="s">
        <v>14</v>
      </c>
      <c r="D39" s="111">
        <v>0</v>
      </c>
      <c r="E39" s="126">
        <f>(D151*D39)*120%*175%</f>
        <v>0</v>
      </c>
      <c r="F39" s="55" t="s">
        <v>88</v>
      </c>
    </row>
    <row r="40" spans="1:6">
      <c r="A40" s="22"/>
      <c r="B40" s="113" t="s">
        <v>108</v>
      </c>
      <c r="C40" s="127" t="s">
        <v>14</v>
      </c>
      <c r="D40" s="132">
        <v>0</v>
      </c>
      <c r="E40" s="116">
        <f>(D151*D40)*140%*175%</f>
        <v>0</v>
      </c>
      <c r="F40" s="35" t="s">
        <v>109</v>
      </c>
    </row>
    <row r="41" spans="1:6" ht="17" thickBot="1">
      <c r="A41" s="22"/>
      <c r="B41" s="128" t="s">
        <v>94</v>
      </c>
      <c r="C41" s="129" t="s">
        <v>14</v>
      </c>
      <c r="D41" s="130">
        <v>0</v>
      </c>
      <c r="E41" s="131">
        <f>(D151*D41)*180%*175%</f>
        <v>0</v>
      </c>
      <c r="F41" s="35" t="s">
        <v>95</v>
      </c>
    </row>
    <row r="42" spans="1:6" ht="17" thickBot="1">
      <c r="A42" s="22"/>
      <c r="C42" s="2"/>
      <c r="D42" s="2"/>
      <c r="E42" s="1"/>
      <c r="F42" s="35"/>
    </row>
    <row r="43" spans="1:6">
      <c r="A43" s="22"/>
      <c r="B43" s="124" t="s">
        <v>84</v>
      </c>
      <c r="C43" s="125" t="s">
        <v>14</v>
      </c>
      <c r="D43" s="111">
        <v>0</v>
      </c>
      <c r="E43" s="126">
        <f>(D151*D43)*120%*100%</f>
        <v>0</v>
      </c>
      <c r="F43" s="55" t="s">
        <v>89</v>
      </c>
    </row>
    <row r="44" spans="1:6">
      <c r="A44" s="22"/>
      <c r="B44" s="113" t="s">
        <v>110</v>
      </c>
      <c r="C44" s="127" t="s">
        <v>14</v>
      </c>
      <c r="D44" s="115">
        <v>0</v>
      </c>
      <c r="E44" s="116">
        <f>(D151*D44)*140%*100%</f>
        <v>0</v>
      </c>
      <c r="F44" s="35" t="s">
        <v>111</v>
      </c>
    </row>
    <row r="45" spans="1:6" ht="17" thickBot="1">
      <c r="A45" s="22"/>
      <c r="B45" s="128" t="s">
        <v>96</v>
      </c>
      <c r="C45" s="129" t="s">
        <v>14</v>
      </c>
      <c r="D45" s="130">
        <v>0</v>
      </c>
      <c r="E45" s="131">
        <f>(D151*D45)*180%*100%</f>
        <v>0</v>
      </c>
      <c r="F45" s="35" t="s">
        <v>97</v>
      </c>
    </row>
    <row r="46" spans="1:6" ht="17" thickBot="1">
      <c r="A46" s="22"/>
      <c r="C46" s="2"/>
      <c r="E46" s="1"/>
    </row>
    <row r="47" spans="1:6">
      <c r="A47" s="22"/>
      <c r="B47" s="124" t="s">
        <v>87</v>
      </c>
      <c r="C47" s="125" t="s">
        <v>14</v>
      </c>
      <c r="D47" s="111">
        <v>0</v>
      </c>
      <c r="E47" s="126">
        <f>(D151*D47)*120%*75%</f>
        <v>0</v>
      </c>
      <c r="F47" s="55" t="s">
        <v>90</v>
      </c>
    </row>
    <row r="48" spans="1:6">
      <c r="A48" s="22"/>
      <c r="B48" s="113" t="s">
        <v>98</v>
      </c>
      <c r="C48" s="127" t="s">
        <v>14</v>
      </c>
      <c r="D48" s="115">
        <v>0</v>
      </c>
      <c r="E48" s="116">
        <f>(D151*D48)*140%*75%</f>
        <v>0</v>
      </c>
      <c r="F48" s="35" t="s">
        <v>106</v>
      </c>
    </row>
    <row r="49" spans="1:7" ht="17" thickBot="1">
      <c r="A49" s="22"/>
      <c r="B49" s="128" t="s">
        <v>112</v>
      </c>
      <c r="C49" s="129" t="s">
        <v>14</v>
      </c>
      <c r="D49" s="130">
        <v>0</v>
      </c>
      <c r="E49" s="131">
        <f>(D151*D49)*180%*75%</f>
        <v>0</v>
      </c>
      <c r="F49" s="35" t="s">
        <v>99</v>
      </c>
    </row>
    <row r="50" spans="1:7">
      <c r="A50" s="22"/>
    </row>
    <row r="51" spans="1:7" s="136" customFormat="1" ht="19">
      <c r="A51" s="133"/>
      <c r="B51" s="134" t="s">
        <v>73</v>
      </c>
      <c r="C51" s="134"/>
      <c r="D51" s="133"/>
      <c r="E51" s="135">
        <f>SUM(E15:E21)</f>
        <v>3707.26261961</v>
      </c>
      <c r="F51" s="135"/>
    </row>
    <row r="52" spans="1:7">
      <c r="G52" s="35"/>
    </row>
    <row r="53" spans="1:7">
      <c r="G53" s="35"/>
    </row>
    <row r="54" spans="1:7">
      <c r="A54" s="12"/>
      <c r="B54" t="s">
        <v>17</v>
      </c>
      <c r="E54" s="1">
        <f>E12*16.82%</f>
        <v>421.94953380760001</v>
      </c>
      <c r="F54" s="35" t="s">
        <v>48</v>
      </c>
    </row>
    <row r="55" spans="1:7">
      <c r="A55" s="12"/>
      <c r="F55" s="35"/>
    </row>
    <row r="56" spans="1:7">
      <c r="A56" s="12"/>
      <c r="B56" t="s">
        <v>28</v>
      </c>
      <c r="D56" s="14"/>
      <c r="E56" s="1">
        <f>IF(D20=0,D101)+IF(D20=1,E101)+IF(D20=2,F101)+IF(D20=3,G101)+IF(D20=4,H101)</f>
        <v>863.62504463940672</v>
      </c>
      <c r="F56" s="21" t="s">
        <v>115</v>
      </c>
    </row>
    <row r="57" spans="1:7">
      <c r="A57" s="12"/>
      <c r="B57" t="s">
        <v>32</v>
      </c>
      <c r="D57" s="17">
        <v>1</v>
      </c>
      <c r="E57" s="16">
        <f>IF(D57=1,18.6,0)</f>
        <v>18.600000000000001</v>
      </c>
      <c r="F57" s="35"/>
    </row>
    <row r="58" spans="1:7">
      <c r="A58" s="12"/>
      <c r="B58" t="s">
        <v>31</v>
      </c>
      <c r="D58" s="17">
        <v>1</v>
      </c>
      <c r="E58" s="1">
        <f>D58*15.8</f>
        <v>15.8</v>
      </c>
      <c r="F58" s="1"/>
    </row>
    <row r="59" spans="1:7">
      <c r="A59" s="12"/>
      <c r="B59" t="s">
        <v>29</v>
      </c>
      <c r="E59" s="1">
        <v>12.17</v>
      </c>
      <c r="F59" s="1"/>
    </row>
    <row r="60" spans="1:7">
      <c r="A60" s="12"/>
      <c r="B60" t="s">
        <v>30</v>
      </c>
      <c r="E60" s="1">
        <v>3</v>
      </c>
      <c r="F60" s="1"/>
    </row>
    <row r="61" spans="1:7">
      <c r="A61" s="12"/>
      <c r="B61" t="s">
        <v>148</v>
      </c>
      <c r="D61" s="19">
        <v>0.1</v>
      </c>
      <c r="E61" s="1">
        <f>(E12+E19)*D61+(E21*(39.5%*D61))</f>
        <v>307.84156526559502</v>
      </c>
      <c r="F61" s="1"/>
    </row>
    <row r="62" spans="1:7">
      <c r="A62" s="12"/>
      <c r="E62" s="1"/>
      <c r="F62" s="1"/>
    </row>
    <row r="63" spans="1:7">
      <c r="A63" s="12"/>
      <c r="E63" s="1"/>
      <c r="F63" s="1"/>
    </row>
    <row r="64" spans="1:7">
      <c r="A64" s="12"/>
      <c r="B64" t="s">
        <v>49</v>
      </c>
      <c r="E64" s="20"/>
      <c r="F64" s="1"/>
    </row>
    <row r="65" spans="1:8">
      <c r="A65" s="12"/>
      <c r="B65" t="s">
        <v>50</v>
      </c>
      <c r="E65" s="20"/>
      <c r="F65" s="1"/>
    </row>
    <row r="66" spans="1:8">
      <c r="A66" s="12"/>
    </row>
    <row r="67" spans="1:8" s="136" customFormat="1" ht="19">
      <c r="A67" s="137"/>
      <c r="B67" s="138" t="s">
        <v>72</v>
      </c>
      <c r="C67" s="138"/>
      <c r="D67" s="138"/>
      <c r="E67" s="139">
        <f>SUM(E54:E65)</f>
        <v>1642.9861437126019</v>
      </c>
      <c r="F67" s="139"/>
    </row>
    <row r="68" spans="1:8">
      <c r="B68" s="4"/>
      <c r="C68" s="4"/>
    </row>
    <row r="69" spans="1:8">
      <c r="E69" s="1"/>
      <c r="F69" s="1"/>
    </row>
    <row r="70" spans="1:8" s="144" customFormat="1" ht="19">
      <c r="A70" s="140"/>
      <c r="B70" s="141" t="s">
        <v>71</v>
      </c>
      <c r="C70" s="140"/>
      <c r="D70" s="140"/>
      <c r="E70" s="142">
        <f>E51-E54</f>
        <v>3285.3130858024001</v>
      </c>
      <c r="F70" s="140"/>
      <c r="G70" s="143" t="s">
        <v>67</v>
      </c>
    </row>
    <row r="72" spans="1:8">
      <c r="B72" t="s">
        <v>74</v>
      </c>
      <c r="E72" s="26"/>
    </row>
    <row r="73" spans="1:8" ht="17" thickBot="1"/>
    <row r="74" spans="1:8" s="144" customFormat="1" ht="20" thickBot="1">
      <c r="A74" s="145"/>
      <c r="B74" s="148" t="s">
        <v>75</v>
      </c>
      <c r="C74" s="147"/>
      <c r="D74" s="147"/>
      <c r="E74" s="149">
        <f>E51-E67-E72</f>
        <v>2064.2764758973981</v>
      </c>
      <c r="F74" s="146"/>
    </row>
    <row r="77" spans="1:8" ht="24">
      <c r="B77" s="157" t="s">
        <v>51</v>
      </c>
      <c r="C77" s="157"/>
      <c r="D77" s="157"/>
      <c r="E77" s="157"/>
      <c r="F77" s="157"/>
      <c r="G77" s="157"/>
      <c r="H77" s="157"/>
    </row>
    <row r="78" spans="1:8" ht="17" thickBot="1">
      <c r="B78" s="150"/>
      <c r="C78" s="150"/>
      <c r="D78" s="150"/>
      <c r="E78" s="150"/>
      <c r="F78" s="150"/>
      <c r="G78" s="150"/>
      <c r="H78" s="150"/>
    </row>
    <row r="79" spans="1:8" ht="17" thickBot="1">
      <c r="B79" s="150"/>
      <c r="C79" s="150"/>
      <c r="D79" s="101" t="s">
        <v>80</v>
      </c>
      <c r="E79" s="102"/>
      <c r="F79" s="102"/>
      <c r="G79" s="102"/>
      <c r="H79" s="103"/>
    </row>
    <row r="80" spans="1:8" ht="16.5" customHeight="1" thickBot="1">
      <c r="B80" s="74" t="s">
        <v>64</v>
      </c>
      <c r="C80" s="75"/>
      <c r="D80" s="70" t="s">
        <v>52</v>
      </c>
      <c r="E80" s="71"/>
      <c r="F80" s="71"/>
      <c r="G80" s="71"/>
      <c r="H80" s="72"/>
    </row>
    <row r="81" spans="2:10" ht="17" thickBot="1">
      <c r="B81" s="76"/>
      <c r="C81" s="77"/>
      <c r="D81" s="29" t="s">
        <v>53</v>
      </c>
      <c r="E81" s="30" t="s">
        <v>54</v>
      </c>
      <c r="F81" s="28" t="s">
        <v>55</v>
      </c>
      <c r="G81" s="31" t="s">
        <v>56</v>
      </c>
      <c r="H81" s="32" t="s">
        <v>57</v>
      </c>
    </row>
    <row r="82" spans="2:10" ht="17" thickBot="1">
      <c r="B82" s="78" t="s">
        <v>58</v>
      </c>
      <c r="C82" s="79"/>
      <c r="D82" s="36">
        <v>0.09</v>
      </c>
      <c r="E82" s="36">
        <v>0.09</v>
      </c>
      <c r="F82" s="36">
        <v>0.09</v>
      </c>
      <c r="G82" s="36">
        <v>0.09</v>
      </c>
      <c r="H82" s="36">
        <v>0</v>
      </c>
    </row>
    <row r="83" spans="2:10" ht="17" thickBot="1">
      <c r="B83" s="80" t="s">
        <v>59</v>
      </c>
      <c r="C83" s="81"/>
      <c r="D83" s="36">
        <v>0.2</v>
      </c>
      <c r="E83" s="36">
        <v>0.18</v>
      </c>
      <c r="F83" s="36">
        <v>0.16</v>
      </c>
      <c r="G83" s="36">
        <v>0.09</v>
      </c>
      <c r="H83" s="36">
        <v>0</v>
      </c>
    </row>
    <row r="84" spans="2:10" ht="17" thickBot="1">
      <c r="B84" s="78" t="s">
        <v>60</v>
      </c>
      <c r="C84" s="79"/>
      <c r="D84" s="36">
        <v>0.26</v>
      </c>
      <c r="E84" s="36">
        <v>0.24</v>
      </c>
      <c r="F84" s="36">
        <v>0.22</v>
      </c>
      <c r="G84" s="36">
        <v>0.2</v>
      </c>
      <c r="H84" s="36">
        <v>0.18</v>
      </c>
    </row>
    <row r="85" spans="2:10" ht="17" thickBot="1">
      <c r="B85" s="80" t="s">
        <v>61</v>
      </c>
      <c r="C85" s="81"/>
      <c r="D85" s="36">
        <v>0.34</v>
      </c>
      <c r="E85" s="36">
        <v>0.34</v>
      </c>
      <c r="F85" s="36">
        <v>0.34</v>
      </c>
      <c r="G85" s="36">
        <v>0.34</v>
      </c>
      <c r="H85" s="36">
        <v>0.34</v>
      </c>
    </row>
    <row r="86" spans="2:10" ht="17" thickBot="1">
      <c r="B86" s="80" t="s">
        <v>62</v>
      </c>
      <c r="C86" s="81"/>
      <c r="D86" s="36">
        <v>0.39</v>
      </c>
      <c r="E86" s="36">
        <v>0.39</v>
      </c>
      <c r="F86" s="36">
        <v>0.39</v>
      </c>
      <c r="G86" s="36">
        <v>0.39</v>
      </c>
      <c r="H86" s="36">
        <v>0.39</v>
      </c>
    </row>
    <row r="87" spans="2:10" ht="17" thickBot="1">
      <c r="B87" s="82" t="s">
        <v>63</v>
      </c>
      <c r="C87" s="83"/>
      <c r="D87" s="36">
        <v>0.44</v>
      </c>
      <c r="E87" s="36">
        <v>0.44</v>
      </c>
      <c r="F87" s="36">
        <v>0.44</v>
      </c>
      <c r="G87" s="36">
        <v>0.44</v>
      </c>
      <c r="H87" s="36">
        <v>0.44</v>
      </c>
    </row>
    <row r="88" spans="2:10">
      <c r="B88" s="150"/>
      <c r="C88" s="150"/>
      <c r="D88" s="150"/>
      <c r="E88" s="150"/>
      <c r="F88" s="150"/>
      <c r="G88" s="150"/>
      <c r="H88" s="150"/>
    </row>
    <row r="89" spans="2:10">
      <c r="B89" s="152"/>
      <c r="C89" s="152"/>
      <c r="D89" s="150"/>
      <c r="E89" s="150"/>
      <c r="F89" s="150"/>
      <c r="G89" s="150"/>
      <c r="H89" s="150"/>
    </row>
    <row r="90" spans="2:10" ht="17" thickBot="1">
      <c r="B90" s="153" t="s">
        <v>168</v>
      </c>
      <c r="C90" s="11">
        <f>E70*17</f>
        <v>55850.322458640803</v>
      </c>
      <c r="D90" s="35"/>
      <c r="E90" s="35"/>
      <c r="F90" s="35"/>
      <c r="G90" s="35"/>
      <c r="H90" s="35"/>
    </row>
    <row r="91" spans="2:10" ht="15.75" customHeight="1" thickBot="1">
      <c r="B91" s="35"/>
      <c r="C91" s="35"/>
      <c r="D91" s="84" t="s">
        <v>68</v>
      </c>
      <c r="E91" s="85"/>
      <c r="F91" s="85"/>
      <c r="G91" s="85"/>
      <c r="H91" s="86"/>
    </row>
    <row r="92" spans="2:10" ht="17" thickBot="1">
      <c r="B92" s="70" t="s">
        <v>149</v>
      </c>
      <c r="C92" s="72"/>
      <c r="D92" s="27" t="s">
        <v>53</v>
      </c>
      <c r="E92" s="28" t="s">
        <v>54</v>
      </c>
      <c r="F92" s="27" t="s">
        <v>55</v>
      </c>
      <c r="G92" s="28" t="s">
        <v>56</v>
      </c>
      <c r="H92" s="28" t="s">
        <v>57</v>
      </c>
    </row>
    <row r="93" spans="2:10" ht="19" thickBot="1">
      <c r="B93" s="38" t="s">
        <v>58</v>
      </c>
      <c r="C93" s="39">
        <f>IF((C90-0)&lt;=10000, C90-0,10000)</f>
        <v>10000</v>
      </c>
      <c r="D93" s="40">
        <f>IF(C93&gt;0,C93*D82,0)</f>
        <v>900</v>
      </c>
      <c r="E93" s="41">
        <f>IF(C93&gt;0,C93*E82,0)</f>
        <v>900</v>
      </c>
      <c r="F93" s="42">
        <f>IF(C93&gt;0,C93*F82,0)</f>
        <v>900</v>
      </c>
      <c r="G93" s="41">
        <f>IF(C93&gt;0,C93*G82,0)</f>
        <v>900</v>
      </c>
      <c r="H93" s="43">
        <f>IF(C93&gt;0,C93*H82,0)</f>
        <v>0</v>
      </c>
      <c r="J93" s="62"/>
    </row>
    <row r="94" spans="2:10" ht="17" thickBot="1">
      <c r="B94" s="38" t="s">
        <v>59</v>
      </c>
      <c r="C94" s="44">
        <f>IF(C90 &gt; 20000, 10000, IF(C90 &gt; 10000, C90 - 10000, 0))</f>
        <v>10000</v>
      </c>
      <c r="D94" s="45">
        <f>IF(C94&gt;0,C94*D83,0)</f>
        <v>2000</v>
      </c>
      <c r="E94" s="44">
        <f>IF(C94&gt;0,C94*E83,0)</f>
        <v>1800</v>
      </c>
      <c r="F94" s="46">
        <f>IF(C94&gt;0,C94*F83,0)</f>
        <v>1600</v>
      </c>
      <c r="G94" s="44">
        <f>IF(C94&gt;0,C94*G83,0)</f>
        <v>900</v>
      </c>
      <c r="H94" s="47">
        <f>IF(C94&gt;0,C94*H83,0)</f>
        <v>0</v>
      </c>
    </row>
    <row r="95" spans="2:10" ht="17" thickBot="1">
      <c r="B95" s="38" t="s">
        <v>60</v>
      </c>
      <c r="C95" s="39">
        <f>IF(C90 &gt; 30000, 10000, IF(C90 &gt; 20000, C90 - 20000, 0))</f>
        <v>10000</v>
      </c>
      <c r="D95" s="48">
        <f>IF(C95&gt;0,C95*D84,0)</f>
        <v>2600</v>
      </c>
      <c r="E95" s="49">
        <f>IF(C95&gt;0,C95*E84,0)</f>
        <v>2400</v>
      </c>
      <c r="F95" s="37">
        <f>IF(C95&gt;0,C95*F84,0)</f>
        <v>2200</v>
      </c>
      <c r="G95" s="49">
        <f>IF(C95&gt;0,C95*G84,0)</f>
        <v>2000</v>
      </c>
      <c r="H95" s="39">
        <f>IF(C95&gt;0,C95*H84,0)</f>
        <v>1800</v>
      </c>
    </row>
    <row r="96" spans="2:10" ht="17" thickBot="1">
      <c r="B96" s="38" t="s">
        <v>61</v>
      </c>
      <c r="C96" s="44">
        <f>IF(C90 &gt; 40000, 10000, IF(C90 &gt; 30000, C90 - 30000, 0))</f>
        <v>10000</v>
      </c>
      <c r="D96" s="45">
        <f>IF(C96&gt;0,C96*D85,0)</f>
        <v>3400.0000000000005</v>
      </c>
      <c r="E96" s="44">
        <f>IF(C96&gt;0,C96*E85,0)</f>
        <v>3400.0000000000005</v>
      </c>
      <c r="F96" s="46">
        <f>IF(C96&gt;0,C96*F85,0)</f>
        <v>3400.0000000000005</v>
      </c>
      <c r="G96" s="44">
        <f>IF(C96&gt;0,C96*G85,0)</f>
        <v>3400.0000000000005</v>
      </c>
      <c r="H96" s="47">
        <f>IF(C96&gt;0,C96*H85,0)</f>
        <v>3400.0000000000005</v>
      </c>
    </row>
    <row r="97" spans="2:8" ht="17" thickBot="1">
      <c r="B97" s="38" t="s">
        <v>62</v>
      </c>
      <c r="C97" s="39">
        <f>IF(C90 &gt; 60000, 20000, IF(C90 &gt; 40000, C90 - 40000, 0))</f>
        <v>15850.322458640803</v>
      </c>
      <c r="D97" s="45">
        <f>IF(C97&gt;0,C97*D86,0)</f>
        <v>6181.6257588699136</v>
      </c>
      <c r="E97" s="44">
        <f>IF(C97&gt;0,C97*E86,0)</f>
        <v>6181.6257588699136</v>
      </c>
      <c r="F97" s="46">
        <f>IF(C97&gt;0,C97*F86,0)</f>
        <v>6181.6257588699136</v>
      </c>
      <c r="G97" s="44">
        <f>IF(C97&gt;0,C97*G86,0)</f>
        <v>6181.6257588699136</v>
      </c>
      <c r="H97" s="47">
        <f>IF(C97&gt;0,C97*H86,0)</f>
        <v>6181.6257588699136</v>
      </c>
    </row>
    <row r="98" spans="2:8" ht="17" thickBot="1">
      <c r="B98" s="50" t="s">
        <v>63</v>
      </c>
      <c r="C98" s="44">
        <f>IF(C90 &gt; 60000, C90 - 60000, 0)</f>
        <v>0</v>
      </c>
      <c r="D98" s="51">
        <f>IF(C98&gt;0,C98*D87,0)</f>
        <v>0</v>
      </c>
      <c r="E98" s="52">
        <f>IF(C98&gt;0,C98*E87,0)</f>
        <v>0</v>
      </c>
      <c r="F98" s="53">
        <f>IF(C98&gt;0,C98*F87,0)</f>
        <v>0</v>
      </c>
      <c r="G98" s="52">
        <f>IF(C98&gt;0,C98*G87,0)</f>
        <v>0</v>
      </c>
      <c r="H98" s="54">
        <f>IF(C98&gt;0,C98*H87,0)</f>
        <v>0</v>
      </c>
    </row>
    <row r="99" spans="2:8">
      <c r="B99" s="35"/>
      <c r="C99" s="35"/>
      <c r="D99" s="35"/>
      <c r="E99" s="35"/>
      <c r="F99" s="35"/>
      <c r="G99" s="35"/>
      <c r="H99" s="35"/>
    </row>
    <row r="100" spans="2:8">
      <c r="B100" s="24" t="s">
        <v>69</v>
      </c>
      <c r="C100" s="35"/>
      <c r="D100" s="37">
        <f>SUM(D93:D98)</f>
        <v>15081.625758869914</v>
      </c>
      <c r="E100" s="37">
        <f t="shared" ref="E100:G100" si="0">SUM(E93:E98)</f>
        <v>14681.625758869914</v>
      </c>
      <c r="F100" s="37">
        <f t="shared" si="0"/>
        <v>14281.625758869914</v>
      </c>
      <c r="G100" s="37">
        <f t="shared" si="0"/>
        <v>13381.625758869914</v>
      </c>
      <c r="H100" s="37">
        <f>SUM(H93:H98)</f>
        <v>11381.625758869914</v>
      </c>
    </row>
    <row r="101" spans="2:8">
      <c r="B101" s="24" t="s">
        <v>70</v>
      </c>
      <c r="C101" s="35"/>
      <c r="D101" s="37">
        <f>D100/17</f>
        <v>887.15445640411258</v>
      </c>
      <c r="E101" s="37">
        <f t="shared" ref="E101:H101" si="1">E100/17</f>
        <v>863.62504463940672</v>
      </c>
      <c r="F101" s="37">
        <f t="shared" si="1"/>
        <v>840.09563287470075</v>
      </c>
      <c r="G101" s="37">
        <f t="shared" si="1"/>
        <v>787.15445640411258</v>
      </c>
      <c r="H101" s="37">
        <f t="shared" si="1"/>
        <v>669.50739758058319</v>
      </c>
    </row>
    <row r="102" spans="2:8">
      <c r="B102" s="154"/>
      <c r="C102" s="150"/>
      <c r="D102" s="155"/>
      <c r="E102" s="155"/>
      <c r="F102" s="155"/>
      <c r="G102" s="155"/>
      <c r="H102" s="155"/>
    </row>
    <row r="103" spans="2:8">
      <c r="B103" s="152"/>
      <c r="C103" s="152"/>
      <c r="D103" s="155"/>
      <c r="E103" s="155"/>
      <c r="F103" s="155"/>
      <c r="G103" s="155"/>
      <c r="H103" s="155"/>
    </row>
    <row r="104" spans="2:8" ht="17" thickBot="1">
      <c r="B104" s="156" t="s">
        <v>169</v>
      </c>
      <c r="C104" s="11">
        <f>E173*17</f>
        <v>36730.488132184946</v>
      </c>
      <c r="D104" s="37"/>
      <c r="E104" s="37"/>
      <c r="F104" s="37"/>
      <c r="G104" s="37"/>
      <c r="H104" s="37"/>
    </row>
    <row r="105" spans="2:8" ht="16.5" customHeight="1" thickBot="1">
      <c r="B105" s="35"/>
      <c r="C105" s="35"/>
      <c r="D105" s="70" t="s">
        <v>68</v>
      </c>
      <c r="E105" s="71"/>
      <c r="F105" s="71"/>
      <c r="G105" s="71"/>
      <c r="H105" s="72"/>
    </row>
    <row r="106" spans="2:8" ht="17" thickBot="1">
      <c r="B106" s="70" t="s">
        <v>156</v>
      </c>
      <c r="C106" s="72"/>
      <c r="D106" s="27" t="s">
        <v>53</v>
      </c>
      <c r="E106" s="28" t="s">
        <v>54</v>
      </c>
      <c r="F106" s="27" t="s">
        <v>55</v>
      </c>
      <c r="G106" s="28" t="s">
        <v>56</v>
      </c>
      <c r="H106" s="28" t="s">
        <v>57</v>
      </c>
    </row>
    <row r="107" spans="2:8" ht="17" thickBot="1">
      <c r="B107" s="38" t="s">
        <v>58</v>
      </c>
      <c r="C107" s="39">
        <f>IF((C104-0)&lt;=10000, C104-0,10000)</f>
        <v>10000</v>
      </c>
      <c r="D107" s="40">
        <f>IF(C107&gt;0,C107*D82,0)</f>
        <v>900</v>
      </c>
      <c r="E107" s="41">
        <f>IF(C107&gt;0,C107*E82,0)</f>
        <v>900</v>
      </c>
      <c r="F107" s="42">
        <f>IF(C107&gt;0,C107*F82,0)</f>
        <v>900</v>
      </c>
      <c r="G107" s="41">
        <f>IF(C107&gt;0,C107*G82,0)</f>
        <v>900</v>
      </c>
      <c r="H107" s="43">
        <f>IF(C107&gt;0,C107*H82,0)</f>
        <v>0</v>
      </c>
    </row>
    <row r="108" spans="2:8" ht="17" thickBot="1">
      <c r="B108" s="38" t="s">
        <v>59</v>
      </c>
      <c r="C108" s="44">
        <f>IF(C104 &gt; 20000, 10000, IF(C104 &gt; 10000, C104 - 10000, 0))</f>
        <v>10000</v>
      </c>
      <c r="D108" s="40">
        <f>IF(C108&gt;0,C108*D83,0)</f>
        <v>2000</v>
      </c>
      <c r="E108" s="41">
        <f>IF(C108&gt;0,C108*E83,0)</f>
        <v>1800</v>
      </c>
      <c r="F108" s="42">
        <f>IF(C108&gt;0,C108*F83,0)</f>
        <v>1600</v>
      </c>
      <c r="G108" s="41">
        <f>IF(C108&gt;0,C108*G83,0)</f>
        <v>900</v>
      </c>
      <c r="H108" s="43">
        <f>IF(C108&gt;0,C108*H83,0)</f>
        <v>0</v>
      </c>
    </row>
    <row r="109" spans="2:8" ht="17" thickBot="1">
      <c r="B109" s="38" t="s">
        <v>60</v>
      </c>
      <c r="C109" s="39">
        <f>IF(C104 &gt; 30000, 10000, IF(C104 &gt; 20000, C104 - 20000, 0))</f>
        <v>10000</v>
      </c>
      <c r="D109" s="40">
        <f>IF(C109&gt;0,C109*D84,0)</f>
        <v>2600</v>
      </c>
      <c r="E109" s="41">
        <f>IF(C109&gt;0,C109*E84,0)</f>
        <v>2400</v>
      </c>
      <c r="F109" s="42">
        <f>IF(C109&gt;0,C109*F84,0)</f>
        <v>2200</v>
      </c>
      <c r="G109" s="41">
        <f>IF(C109&gt;0,C109*G84,0)</f>
        <v>2000</v>
      </c>
      <c r="H109" s="43">
        <f>IF(C109&gt;0,C109*H84,0)</f>
        <v>1800</v>
      </c>
    </row>
    <row r="110" spans="2:8" ht="16.5" customHeight="1" thickBot="1">
      <c r="B110" s="38" t="s">
        <v>61</v>
      </c>
      <c r="C110" s="44">
        <f>IF(C104 &gt; 40000, 10000, IF(C104 &gt; 30000, C104 - 30000, 0))</f>
        <v>6730.4881321849462</v>
      </c>
      <c r="D110" s="40">
        <f>IF(C110&gt;0,C110*D85,0)</f>
        <v>2288.3659649428819</v>
      </c>
      <c r="E110" s="41">
        <f>IF(C110&gt;0,C110*E85,0)</f>
        <v>2288.3659649428819</v>
      </c>
      <c r="F110" s="42">
        <f>IF(C110&gt;0,C110*F85,0)</f>
        <v>2288.3659649428819</v>
      </c>
      <c r="G110" s="41">
        <f>IF(C110&gt;0,C110*G85,0)</f>
        <v>2288.3659649428819</v>
      </c>
      <c r="H110" s="43">
        <f>IF(C110&gt;0,C110*H85,0)</f>
        <v>2288.3659649428819</v>
      </c>
    </row>
    <row r="111" spans="2:8" ht="17" thickBot="1">
      <c r="B111" s="38" t="s">
        <v>62</v>
      </c>
      <c r="C111" s="39">
        <f>IF(C104 &gt; 60000, 20000, IF(C104 &gt; 40000, C104 - 40000, 0))</f>
        <v>0</v>
      </c>
      <c r="D111" s="40">
        <f>IF(C111&gt;0,C111*D86,0)</f>
        <v>0</v>
      </c>
      <c r="E111" s="41">
        <f>IF(C111&gt;0,C111*E86,0)</f>
        <v>0</v>
      </c>
      <c r="F111" s="42">
        <f>IF(C111&gt;0,C111*F86,0)</f>
        <v>0</v>
      </c>
      <c r="G111" s="41">
        <f>IF(C111&gt;0,C111*G86,0)</f>
        <v>0</v>
      </c>
      <c r="H111" s="43">
        <f>IF(C111&gt;0,C111*H86,0)</f>
        <v>0</v>
      </c>
    </row>
    <row r="112" spans="2:8" ht="17" thickBot="1">
      <c r="B112" s="50" t="s">
        <v>63</v>
      </c>
      <c r="C112" s="44">
        <f>IF(C104 &gt; 60000, C104 - 60000, 0)</f>
        <v>0</v>
      </c>
      <c r="D112" s="44">
        <f>IF(C112&gt;0,C112*D87,0)</f>
        <v>0</v>
      </c>
      <c r="E112" s="44">
        <f>IF(C112&gt;0,C112*E87,0)</f>
        <v>0</v>
      </c>
      <c r="F112" s="46">
        <f>IF(C112&gt;0,C112*F87,0)</f>
        <v>0</v>
      </c>
      <c r="G112" s="44">
        <f>IF(C112&gt;0,C112*G87,0)</f>
        <v>0</v>
      </c>
      <c r="H112" s="47">
        <f>IF(C112&gt;0,C112*H87,0)</f>
        <v>0</v>
      </c>
    </row>
    <row r="113" spans="2:8">
      <c r="B113" s="35"/>
      <c r="C113" s="35"/>
      <c r="D113" s="35"/>
      <c r="E113" s="35"/>
      <c r="F113" s="35"/>
      <c r="G113" s="35"/>
      <c r="H113" s="35"/>
    </row>
    <row r="114" spans="2:8">
      <c r="B114" s="24" t="s">
        <v>151</v>
      </c>
      <c r="C114" s="35"/>
      <c r="D114" s="37">
        <f>SUM(D107:D112)</f>
        <v>7788.3659649428819</v>
      </c>
      <c r="E114" s="37">
        <f>SUM(E107:E112)</f>
        <v>7388.3659649428819</v>
      </c>
      <c r="F114" s="37">
        <f>SUM(F107:F112)</f>
        <v>6988.3659649428819</v>
      </c>
      <c r="G114" s="37">
        <f t="shared" ref="G114:H114" si="2">SUM(G107:G112)</f>
        <v>6088.3659649428819</v>
      </c>
      <c r="H114" s="37">
        <f t="shared" si="2"/>
        <v>4088.3659649428819</v>
      </c>
    </row>
    <row r="115" spans="2:8">
      <c r="B115" s="24" t="s">
        <v>154</v>
      </c>
      <c r="C115" s="35"/>
      <c r="D115" s="37">
        <f>D114/17</f>
        <v>458.13917440840481</v>
      </c>
      <c r="E115" s="37">
        <f t="shared" ref="E115:F115" si="3">E114/17</f>
        <v>434.60976264369896</v>
      </c>
      <c r="F115" s="37">
        <f t="shared" si="3"/>
        <v>411.08035087899304</v>
      </c>
      <c r="G115" s="37">
        <f>G114/17</f>
        <v>358.13917440840481</v>
      </c>
      <c r="H115" s="37">
        <f>H114/17</f>
        <v>240.49211558487539</v>
      </c>
    </row>
    <row r="116" spans="2:8">
      <c r="B116" s="154"/>
      <c r="C116" s="150"/>
      <c r="D116" s="155"/>
      <c r="E116" s="155"/>
      <c r="F116" s="155"/>
      <c r="G116" s="155"/>
      <c r="H116" s="155"/>
    </row>
    <row r="117" spans="2:8">
      <c r="B117" s="152"/>
      <c r="C117" s="152"/>
      <c r="D117" s="155"/>
      <c r="E117" s="155"/>
      <c r="F117" s="155"/>
      <c r="G117" s="155"/>
      <c r="H117" s="155"/>
    </row>
    <row r="118" spans="2:8" ht="17" thickBot="1">
      <c r="B118" s="156" t="s">
        <v>170</v>
      </c>
      <c r="C118" s="11">
        <f>E188*17</f>
        <v>43792.165083440763</v>
      </c>
      <c r="D118" s="37"/>
      <c r="E118" s="37"/>
      <c r="F118" s="37"/>
      <c r="G118" s="37"/>
      <c r="H118" s="37"/>
    </row>
    <row r="119" spans="2:8" ht="17" thickBot="1">
      <c r="B119" s="35"/>
      <c r="C119" s="35"/>
      <c r="D119" s="70" t="s">
        <v>68</v>
      </c>
      <c r="E119" s="71"/>
      <c r="F119" s="71"/>
      <c r="G119" s="71"/>
      <c r="H119" s="72"/>
    </row>
    <row r="120" spans="2:8" ht="17" thickBot="1">
      <c r="B120" s="70" t="s">
        <v>152</v>
      </c>
      <c r="C120" s="72"/>
      <c r="D120" s="27" t="s">
        <v>53</v>
      </c>
      <c r="E120" s="28" t="s">
        <v>54</v>
      </c>
      <c r="F120" s="27" t="s">
        <v>55</v>
      </c>
      <c r="G120" s="28" t="s">
        <v>56</v>
      </c>
      <c r="H120" s="28" t="s">
        <v>57</v>
      </c>
    </row>
    <row r="121" spans="2:8" ht="17" thickBot="1">
      <c r="B121" s="38" t="s">
        <v>58</v>
      </c>
      <c r="C121" s="39">
        <f>IF((C118-0)&lt;=10000, C118-0,10000)</f>
        <v>10000</v>
      </c>
      <c r="D121" s="40">
        <f>IF(C121&gt;0,C121*D82,0)</f>
        <v>900</v>
      </c>
      <c r="E121" s="41">
        <f>IF(C121&gt;0,C121*E82,0)</f>
        <v>900</v>
      </c>
      <c r="F121" s="42">
        <f>IF(C121&gt;0,C121*F82,0)</f>
        <v>900</v>
      </c>
      <c r="G121" s="41">
        <f>IF(C121&gt;0,C121*G82,0)</f>
        <v>900</v>
      </c>
      <c r="H121" s="43">
        <f>IF(C121&gt;0,C121*H82,0)</f>
        <v>0</v>
      </c>
    </row>
    <row r="122" spans="2:8" ht="17" thickBot="1">
      <c r="B122" s="38" t="s">
        <v>59</v>
      </c>
      <c r="C122" s="44">
        <f>IF(C118 &gt; 20000, 10000, IF(C118 &gt; 10000, C118 - 10000, 0))</f>
        <v>10000</v>
      </c>
      <c r="D122" s="40">
        <f>IF(C122&gt;0,C122*D83,0)</f>
        <v>2000</v>
      </c>
      <c r="E122" s="40">
        <f>IF(C122&gt;0,C122*E83,0)</f>
        <v>1800</v>
      </c>
      <c r="F122" s="40">
        <f>IF(C122&gt;0,C122*F83,0)</f>
        <v>1600</v>
      </c>
      <c r="G122" s="40">
        <f>IF(C122&gt;0,C122*G83,0)</f>
        <v>900</v>
      </c>
      <c r="H122" s="44">
        <f>IF(C122&gt;0,C122*H83,0)</f>
        <v>0</v>
      </c>
    </row>
    <row r="123" spans="2:8" ht="17" thickBot="1">
      <c r="B123" s="38" t="s">
        <v>60</v>
      </c>
      <c r="C123" s="39">
        <f>IF(C118 &gt; 30000, 10000, IF(C118 &gt; 20000, C118 - 20000, 0))</f>
        <v>10000</v>
      </c>
      <c r="D123" s="40">
        <f>IF(C123&gt;0,C123*D84,0)</f>
        <v>2600</v>
      </c>
      <c r="E123" s="41">
        <f>IF(C123&gt;0,C123*E84,0)</f>
        <v>2400</v>
      </c>
      <c r="F123" s="42">
        <f>IF(C123&gt;0,C123*F84,0)</f>
        <v>2200</v>
      </c>
      <c r="G123" s="41">
        <f>IF(C123&gt;0,C123*G84,0)</f>
        <v>2000</v>
      </c>
      <c r="H123" s="43">
        <f>IF(C123&gt;0,C123*H84,0)</f>
        <v>1800</v>
      </c>
    </row>
    <row r="124" spans="2:8" ht="17" thickBot="1">
      <c r="B124" s="38" t="s">
        <v>61</v>
      </c>
      <c r="C124" s="44">
        <f>IF(C118 &gt; 40000, 10000, IF(C118 &gt; 30000, C118 - 30000, 0))</f>
        <v>10000</v>
      </c>
      <c r="D124" s="40">
        <f>IF(C124&gt;0,C124*D85,0)</f>
        <v>3400.0000000000005</v>
      </c>
      <c r="E124" s="41">
        <f>IF(C124&gt;0,C124*E85,0)</f>
        <v>3400.0000000000005</v>
      </c>
      <c r="F124" s="42">
        <f>IF(C124&gt;0,C124*F85,0)</f>
        <v>3400.0000000000005</v>
      </c>
      <c r="G124" s="41">
        <f>IF(C124&gt;0,C124*G85,0)</f>
        <v>3400.0000000000005</v>
      </c>
      <c r="H124" s="43">
        <f>IF(C124&gt;0,C124*H85,0)</f>
        <v>3400.0000000000005</v>
      </c>
    </row>
    <row r="125" spans="2:8" ht="17" thickBot="1">
      <c r="B125" s="38" t="s">
        <v>62</v>
      </c>
      <c r="C125" s="39">
        <f>IF(C118 &gt; 60000, 20000, IF(C118 &gt; 40000, C118 - 40000, 0))</f>
        <v>3792.1650834407628</v>
      </c>
      <c r="D125" s="40">
        <f>IF(C125&gt;0,C125*D86,0)</f>
        <v>1478.9443825418975</v>
      </c>
      <c r="E125" s="41">
        <f>IF(C125&gt;0,C125*E86,0)</f>
        <v>1478.9443825418975</v>
      </c>
      <c r="F125" s="42">
        <f>IF(C125&gt;0,C125*F86,0)</f>
        <v>1478.9443825418975</v>
      </c>
      <c r="G125" s="41">
        <f>IF(C125&gt;0,C125*G86,0)</f>
        <v>1478.9443825418975</v>
      </c>
      <c r="H125" s="43">
        <f>IF(C125&gt;0,C125*H86,0)</f>
        <v>1478.9443825418975</v>
      </c>
    </row>
    <row r="126" spans="2:8" ht="17" thickBot="1">
      <c r="B126" s="50" t="s">
        <v>63</v>
      </c>
      <c r="C126" s="44">
        <f>IF(C118 &gt; 60000, C118 - 60000, 0)</f>
        <v>0</v>
      </c>
      <c r="D126" s="44">
        <f>IF(C126&gt;0,C126*D87,0)</f>
        <v>0</v>
      </c>
      <c r="E126" s="44">
        <f>IF(C126&gt;0,C126*E87,0)</f>
        <v>0</v>
      </c>
      <c r="F126" s="46">
        <f>IF(C126&gt;0,C126*F87,0)</f>
        <v>0</v>
      </c>
      <c r="G126" s="44">
        <f>IF(C126&gt;0,C126*G87,0)</f>
        <v>0</v>
      </c>
      <c r="H126" s="47">
        <f>IF(C126&gt;0,C126*H87,0)</f>
        <v>0</v>
      </c>
    </row>
    <row r="127" spans="2:8">
      <c r="B127" s="35"/>
      <c r="C127" s="35"/>
      <c r="D127" s="35"/>
      <c r="E127" s="35"/>
      <c r="F127" s="35"/>
      <c r="G127" s="35"/>
      <c r="H127" s="35"/>
    </row>
    <row r="128" spans="2:8">
      <c r="B128" s="24" t="s">
        <v>153</v>
      </c>
      <c r="C128" s="35"/>
      <c r="D128" s="37">
        <f>SUM(D121:D126)</f>
        <v>10378.944382541897</v>
      </c>
      <c r="E128" s="37">
        <f>SUM(E121:E126)</f>
        <v>9978.9443825418966</v>
      </c>
      <c r="F128" s="37">
        <f>SUM(F121:F126)</f>
        <v>9578.9443825418966</v>
      </c>
      <c r="G128" s="37">
        <f t="shared" ref="G128:H128" si="4">SUM(G121:G126)</f>
        <v>8678.9443825418966</v>
      </c>
      <c r="H128" s="37">
        <f t="shared" si="4"/>
        <v>6678.9443825418975</v>
      </c>
    </row>
    <row r="129" spans="2:8">
      <c r="B129" s="24" t="s">
        <v>155</v>
      </c>
      <c r="C129" s="35"/>
      <c r="D129" s="37">
        <f>D128/17</f>
        <v>610.52614014952337</v>
      </c>
      <c r="E129" s="37">
        <f t="shared" ref="E129:F129" si="5">E128/17</f>
        <v>586.9967283848174</v>
      </c>
      <c r="F129" s="37">
        <f t="shared" si="5"/>
        <v>563.46731662011155</v>
      </c>
      <c r="G129" s="37">
        <f>G128/17</f>
        <v>510.52614014952331</v>
      </c>
      <c r="H129" s="37">
        <f>H128/17</f>
        <v>392.87908132599398</v>
      </c>
    </row>
    <row r="130" spans="2:8">
      <c r="B130" s="154"/>
      <c r="C130" s="150"/>
      <c r="D130" s="155"/>
      <c r="E130" s="155"/>
      <c r="F130" s="155"/>
      <c r="G130" s="155"/>
      <c r="H130" s="155"/>
    </row>
    <row r="131" spans="2:8">
      <c r="B131" s="152"/>
      <c r="C131" s="152"/>
      <c r="D131" s="155"/>
      <c r="E131" s="155"/>
      <c r="F131" s="155"/>
      <c r="G131" s="155"/>
      <c r="H131" s="155"/>
    </row>
    <row r="132" spans="2:8" ht="17" thickBot="1">
      <c r="B132" s="156" t="s">
        <v>171</v>
      </c>
      <c r="C132" s="11">
        <f>E207*17</f>
        <v>73460.976264369892</v>
      </c>
      <c r="D132" s="37"/>
      <c r="E132" s="37"/>
      <c r="F132" s="37"/>
      <c r="G132" s="37"/>
      <c r="H132" s="37"/>
    </row>
    <row r="133" spans="2:8" ht="17" thickBot="1">
      <c r="B133" s="35"/>
      <c r="C133" s="35"/>
      <c r="D133" s="70" t="s">
        <v>68</v>
      </c>
      <c r="E133" s="71"/>
      <c r="F133" s="71"/>
      <c r="G133" s="71"/>
      <c r="H133" s="72"/>
    </row>
    <row r="134" spans="2:8" ht="17" thickBot="1">
      <c r="B134" s="70" t="s">
        <v>157</v>
      </c>
      <c r="C134" s="72"/>
      <c r="D134" s="27" t="s">
        <v>53</v>
      </c>
      <c r="E134" s="28" t="s">
        <v>54</v>
      </c>
      <c r="F134" s="27" t="s">
        <v>55</v>
      </c>
      <c r="G134" s="28" t="s">
        <v>56</v>
      </c>
      <c r="H134" s="28" t="s">
        <v>57</v>
      </c>
    </row>
    <row r="135" spans="2:8" ht="17" thickBot="1">
      <c r="B135" s="38" t="s">
        <v>58</v>
      </c>
      <c r="C135" s="39">
        <f>IF((C132-0)&lt;=10000, C132-0,10000)</f>
        <v>10000</v>
      </c>
      <c r="D135" s="40">
        <f>IF(C135&gt;0,C135*D82,0)</f>
        <v>900</v>
      </c>
      <c r="E135" s="41">
        <f>IF(C135&gt;0,C135*E82,0)</f>
        <v>900</v>
      </c>
      <c r="F135" s="42">
        <f>IF(C135&gt;0,C135*F82,0)</f>
        <v>900</v>
      </c>
      <c r="G135" s="41">
        <f>IF(C135&gt;0,C135*G82,0)</f>
        <v>900</v>
      </c>
      <c r="H135" s="43">
        <f>IF(C135&gt;0,C135*H82,0)</f>
        <v>0</v>
      </c>
    </row>
    <row r="136" spans="2:8" ht="17" thickBot="1">
      <c r="B136" s="38" t="s">
        <v>59</v>
      </c>
      <c r="C136" s="44">
        <f>IF(C132 &gt; 20000, 10000, IF(C132 &gt; 10000, C132 - 10000, 0))</f>
        <v>10000</v>
      </c>
      <c r="D136" s="40">
        <f>IF(C136&gt;0,C136*D83,0)</f>
        <v>2000</v>
      </c>
      <c r="E136" s="41">
        <f>IF(C136&gt;0,C136*E83,0)</f>
        <v>1800</v>
      </c>
      <c r="F136" s="42">
        <f>IF(C136&gt;0,C136*F83,0)</f>
        <v>1600</v>
      </c>
      <c r="G136" s="41">
        <f>IF(C136&gt;0,C136*G83,0)</f>
        <v>900</v>
      </c>
      <c r="H136" s="43">
        <f>IF(C136&gt;0,C136*H83,0)</f>
        <v>0</v>
      </c>
    </row>
    <row r="137" spans="2:8" ht="17" thickBot="1">
      <c r="B137" s="38" t="s">
        <v>60</v>
      </c>
      <c r="C137" s="39">
        <f>IF(C132 &gt; 30000, 10000, IF(C132 &gt; 20000, C132 - 20000, 0))</f>
        <v>10000</v>
      </c>
      <c r="D137" s="40">
        <f>IF(C137&gt;0,C137*D84,0)</f>
        <v>2600</v>
      </c>
      <c r="E137" s="41">
        <f>IF(C137&gt;0,C137*E84,0)</f>
        <v>2400</v>
      </c>
      <c r="F137" s="42">
        <f>IF(C137&gt;0,C137*F84,0)</f>
        <v>2200</v>
      </c>
      <c r="G137" s="41">
        <f>IF(C137&gt;0,C137*G84,0)</f>
        <v>2000</v>
      </c>
      <c r="H137" s="43">
        <f>IF(C137&gt;0,C137*H84,0)</f>
        <v>1800</v>
      </c>
    </row>
    <row r="138" spans="2:8" ht="17" thickBot="1">
      <c r="B138" s="38" t="s">
        <v>61</v>
      </c>
      <c r="C138" s="44">
        <f>IF(C132 &gt; 40000, 10000, IF(C132 &gt; 30000, C132 - 30000, 0))</f>
        <v>10000</v>
      </c>
      <c r="D138" s="40">
        <f>IF(C138&gt;0,C138*D85,0)</f>
        <v>3400.0000000000005</v>
      </c>
      <c r="E138" s="41">
        <f>IF(C138&gt;0,C138*E85,0)</f>
        <v>3400.0000000000005</v>
      </c>
      <c r="F138" s="42">
        <f>IF(C138&gt;0,C138*F85,0)</f>
        <v>3400.0000000000005</v>
      </c>
      <c r="G138" s="41">
        <f>IF(C138&gt;0,C138*G85,0)</f>
        <v>3400.0000000000005</v>
      </c>
      <c r="H138" s="43">
        <f>IF(C138&gt;0,C138*H85,0)</f>
        <v>3400.0000000000005</v>
      </c>
    </row>
    <row r="139" spans="2:8" ht="17" thickBot="1">
      <c r="B139" s="38" t="s">
        <v>62</v>
      </c>
      <c r="C139" s="39">
        <f>IF(C132 &gt; 60000, 20000, IF(C132 &gt; 40000, C132 - 40000, 0))</f>
        <v>20000</v>
      </c>
      <c r="D139" s="40">
        <f>IF(C139&gt;0,C139*D86,0)</f>
        <v>7800</v>
      </c>
      <c r="E139" s="41">
        <f>IF(C139&gt;0,C139*E86,0)</f>
        <v>7800</v>
      </c>
      <c r="F139" s="42">
        <f>IF(C139&gt;0,C139*F86,0)</f>
        <v>7800</v>
      </c>
      <c r="G139" s="41">
        <f>IF(C139&gt;0,C139*G86,0)</f>
        <v>7800</v>
      </c>
      <c r="H139" s="43">
        <f>IF(C139&gt;0,C139*H86,0)</f>
        <v>7800</v>
      </c>
    </row>
    <row r="140" spans="2:8" ht="17" thickBot="1">
      <c r="B140" s="50" t="s">
        <v>63</v>
      </c>
      <c r="C140" s="44">
        <f>IF(C132 &gt; 60000, C132 - 60000, 0)</f>
        <v>13460.976264369892</v>
      </c>
      <c r="D140" s="45">
        <f>IF(C140&gt;0,C140*D87,0)</f>
        <v>5922.829556322753</v>
      </c>
      <c r="E140" s="44">
        <f>IF(C140&gt;0,C140*E87,0)</f>
        <v>5922.829556322753</v>
      </c>
      <c r="F140" s="46">
        <f>IF(C140&gt;0,C140*F87,0)</f>
        <v>5922.829556322753</v>
      </c>
      <c r="G140" s="44">
        <f>IF(C140&gt;0,C140*G87,0)</f>
        <v>5922.829556322753</v>
      </c>
      <c r="H140" s="47">
        <f>IF(C140&gt;0,C140*H87,0)</f>
        <v>5922.829556322753</v>
      </c>
    </row>
    <row r="141" spans="2:8">
      <c r="B141" s="35"/>
      <c r="C141" s="35"/>
      <c r="D141" s="35"/>
      <c r="E141" s="35"/>
      <c r="F141" s="35"/>
      <c r="G141" s="35"/>
      <c r="H141" s="35"/>
    </row>
    <row r="142" spans="2:8">
      <c r="B142" s="24" t="s">
        <v>158</v>
      </c>
      <c r="C142" s="35"/>
      <c r="D142" s="37">
        <f>SUM(D135:D140)</f>
        <v>22622.829556322751</v>
      </c>
      <c r="E142" s="37">
        <f>SUM(E135:E140)</f>
        <v>22222.829556322751</v>
      </c>
      <c r="F142" s="37">
        <f>SUM(F135:F140)</f>
        <v>21822.829556322751</v>
      </c>
      <c r="G142" s="37">
        <f t="shared" ref="G142:H142" si="6">SUM(G135:G140)</f>
        <v>20922.829556322751</v>
      </c>
      <c r="H142" s="37">
        <f t="shared" si="6"/>
        <v>18922.829556322751</v>
      </c>
    </row>
    <row r="143" spans="2:8">
      <c r="B143" s="24" t="s">
        <v>159</v>
      </c>
      <c r="C143" s="35"/>
      <c r="D143" s="37">
        <f>D142/17</f>
        <v>1330.7546797836912</v>
      </c>
      <c r="E143" s="37">
        <f t="shared" ref="E143:F143" si="7">E142/17</f>
        <v>1307.2252680189854</v>
      </c>
      <c r="F143" s="37">
        <f t="shared" si="7"/>
        <v>1283.6958562542795</v>
      </c>
      <c r="G143" s="37">
        <f>G142/17</f>
        <v>1230.7546797836912</v>
      </c>
      <c r="H143" s="37">
        <f>H142/17</f>
        <v>1113.1076209601617</v>
      </c>
    </row>
    <row r="144" spans="2:8">
      <c r="B144" s="154"/>
      <c r="C144" s="150"/>
      <c r="D144" s="155"/>
      <c r="E144" s="155"/>
      <c r="F144" s="155"/>
      <c r="G144" s="155"/>
      <c r="H144" s="155"/>
    </row>
    <row r="145" spans="2:8">
      <c r="B145" s="152"/>
      <c r="C145" s="152"/>
      <c r="D145" s="152"/>
      <c r="E145" s="152"/>
      <c r="F145" s="152"/>
      <c r="G145" s="152"/>
      <c r="H145" s="152"/>
    </row>
    <row r="148" spans="2:8" ht="17" thickBot="1"/>
    <row r="149" spans="2:8" ht="16" customHeight="1">
      <c r="B149" s="124" t="s">
        <v>33</v>
      </c>
      <c r="C149" s="158" t="s">
        <v>38</v>
      </c>
      <c r="D149" s="159">
        <f>E12/162.5</f>
        <v>15.437648726153846</v>
      </c>
      <c r="E149" s="160"/>
      <c r="F149" t="s">
        <v>79</v>
      </c>
    </row>
    <row r="150" spans="2:8">
      <c r="B150" s="113" t="s">
        <v>34</v>
      </c>
      <c r="C150" s="161"/>
      <c r="D150" s="162">
        <f>D149*6.5</f>
        <v>100.34471671999999</v>
      </c>
      <c r="E150" s="163"/>
      <c r="F150" t="s">
        <v>82</v>
      </c>
    </row>
    <row r="151" spans="2:8">
      <c r="B151" s="113" t="s">
        <v>76</v>
      </c>
      <c r="C151" s="161"/>
      <c r="D151" s="162">
        <f>(E12+E19+E20)/D15</f>
        <v>16.716052566153845</v>
      </c>
      <c r="E151" s="119"/>
      <c r="F151" t="s">
        <v>163</v>
      </c>
    </row>
    <row r="152" spans="2:8">
      <c r="B152" s="113" t="s">
        <v>119</v>
      </c>
      <c r="C152" s="127" t="s">
        <v>14</v>
      </c>
      <c r="D152" s="114">
        <f>(F17*12.5)/25</f>
        <v>81.25</v>
      </c>
      <c r="E152" s="119"/>
    </row>
    <row r="153" spans="2:8" ht="17" thickBot="1">
      <c r="B153" s="128" t="s">
        <v>121</v>
      </c>
      <c r="C153" s="129" t="s">
        <v>14</v>
      </c>
      <c r="D153" s="164">
        <f>(F17*15.5)/25</f>
        <v>100.75</v>
      </c>
      <c r="E153" s="165"/>
    </row>
    <row r="154" spans="2:8">
      <c r="C154" s="2"/>
    </row>
    <row r="155" spans="2:8">
      <c r="B155" t="s">
        <v>132</v>
      </c>
      <c r="C155" s="2"/>
      <c r="D155" s="26">
        <v>5.4</v>
      </c>
      <c r="E155" s="56">
        <f>F17/6.66*D155</f>
        <v>131.75675675675677</v>
      </c>
    </row>
    <row r="156" spans="2:8">
      <c r="B156" t="s">
        <v>142</v>
      </c>
      <c r="C156" s="2"/>
      <c r="D156" s="57" t="s">
        <v>133</v>
      </c>
      <c r="E156" s="59">
        <v>0.22339999999999999</v>
      </c>
    </row>
    <row r="157" spans="2:8">
      <c r="B157" t="s">
        <v>143</v>
      </c>
      <c r="C157" s="2"/>
      <c r="D157" s="57" t="s">
        <v>133</v>
      </c>
      <c r="E157" s="14">
        <v>0.18770000000000001</v>
      </c>
    </row>
    <row r="158" spans="2:8">
      <c r="B158" t="s">
        <v>144</v>
      </c>
      <c r="C158" s="2"/>
      <c r="D158" s="57" t="s">
        <v>133</v>
      </c>
      <c r="E158" s="14">
        <v>0.1081</v>
      </c>
    </row>
    <row r="159" spans="2:8">
      <c r="B159" t="s">
        <v>145</v>
      </c>
      <c r="C159" s="2"/>
      <c r="D159" s="57" t="s">
        <v>133</v>
      </c>
      <c r="E159" s="14">
        <v>0.183</v>
      </c>
    </row>
    <row r="161" spans="1:10" ht="19">
      <c r="B161" s="151"/>
      <c r="C161" s="151"/>
      <c r="D161" s="151"/>
      <c r="E161" s="151"/>
      <c r="F161" s="151"/>
      <c r="G161" s="151"/>
      <c r="H161" s="151"/>
    </row>
    <row r="163" spans="1:10">
      <c r="A163" s="22"/>
      <c r="B163" s="63" t="s">
        <v>118</v>
      </c>
      <c r="E163" s="37">
        <f>D150*12.5</f>
        <v>1254.308959</v>
      </c>
    </row>
    <row r="164" spans="1:10" ht="15.75" customHeight="1">
      <c r="A164" s="22"/>
      <c r="B164" s="55" t="s">
        <v>160</v>
      </c>
      <c r="E164" s="64">
        <f>E163*0.1259</f>
        <v>157.91749793810001</v>
      </c>
      <c r="F164" s="57"/>
      <c r="G164" s="61"/>
      <c r="H164" s="61"/>
      <c r="I164" s="61"/>
      <c r="J164" s="61"/>
    </row>
    <row r="165" spans="1:10">
      <c r="A165" s="22"/>
      <c r="B165" s="35" t="s">
        <v>117</v>
      </c>
      <c r="E165" s="1">
        <f>(E21*D152)/F17</f>
        <v>495.45203880500003</v>
      </c>
      <c r="F165" s="1"/>
      <c r="G165" s="61"/>
      <c r="H165" s="61"/>
      <c r="I165" s="61"/>
      <c r="J165" s="61"/>
    </row>
    <row r="166" spans="1:10">
      <c r="A166" s="22"/>
      <c r="B166" s="55" t="s">
        <v>125</v>
      </c>
      <c r="E166" s="1">
        <f>E155*D152/F17</f>
        <v>65.878378378378386</v>
      </c>
      <c r="G166" s="61"/>
    </row>
    <row r="167" spans="1:10">
      <c r="A167" s="22"/>
      <c r="B167" t="s">
        <v>161</v>
      </c>
      <c r="E167" s="1">
        <f>E19*D152/F17</f>
        <v>89.195311999999987</v>
      </c>
      <c r="G167" s="61"/>
    </row>
    <row r="168" spans="1:10" ht="15.75" customHeight="1">
      <c r="A168" s="22"/>
      <c r="B168" t="s">
        <v>120</v>
      </c>
      <c r="E168" s="1">
        <f>E20*D152/F17</f>
        <v>14.675000000000001</v>
      </c>
    </row>
    <row r="169" spans="1:10" ht="15.75" customHeight="1">
      <c r="A169" s="22"/>
      <c r="B169" t="s">
        <v>134</v>
      </c>
      <c r="D169" s="57" t="s">
        <v>133</v>
      </c>
      <c r="E169" s="1"/>
    </row>
    <row r="170" spans="1:10" ht="15.75" customHeight="1">
      <c r="A170" s="22"/>
      <c r="B170" t="s">
        <v>135</v>
      </c>
      <c r="E170" s="1">
        <f>E163*0.04166</f>
        <v>52.25451123194</v>
      </c>
    </row>
    <row r="171" spans="1:10" ht="15.75" customHeight="1">
      <c r="A171" s="22"/>
      <c r="B171" t="s">
        <v>136</v>
      </c>
      <c r="D171" s="57" t="s">
        <v>133</v>
      </c>
      <c r="E171" s="64">
        <f>E165*0.04166</f>
        <v>20.640531936616302</v>
      </c>
    </row>
    <row r="172" spans="1:10" ht="15.75" customHeight="1">
      <c r="A172" s="22"/>
      <c r="B172" t="s">
        <v>137</v>
      </c>
      <c r="D172" s="57" t="s">
        <v>133</v>
      </c>
      <c r="E172" s="64">
        <f>(E164+E167)*0.04166</f>
        <v>10.294719662021246</v>
      </c>
    </row>
    <row r="173" spans="1:10" ht="15.75" customHeight="1">
      <c r="A173" s="58"/>
      <c r="E173" s="25">
        <f>SUM(E163:E172)</f>
        <v>2160.6169489520557</v>
      </c>
    </row>
    <row r="174" spans="1:10" ht="15.75" customHeight="1">
      <c r="A174" s="12"/>
      <c r="B174" t="s">
        <v>17</v>
      </c>
      <c r="D174" s="57" t="s">
        <v>133</v>
      </c>
      <c r="E174" s="64">
        <f>E173*0.1682</f>
        <v>363.41577081373578</v>
      </c>
    </row>
    <row r="175" spans="1:10">
      <c r="A175" s="12"/>
      <c r="B175" t="s">
        <v>28</v>
      </c>
      <c r="E175" s="1">
        <f>IF(D20=0,D115)+IF(D20=1,E115)+IF(D20=2,F115)+IF(D20=3,G115)*IF(D20=4,H115)</f>
        <v>434.60976264369896</v>
      </c>
    </row>
    <row r="176" spans="1:10">
      <c r="A176" s="12"/>
      <c r="B176" t="s">
        <v>147</v>
      </c>
      <c r="E176" s="1">
        <f>(E61*D152)/F17</f>
        <v>153.92078263279751</v>
      </c>
    </row>
    <row r="177" spans="1:8">
      <c r="E177" s="60">
        <f>SUM(E174:E176)</f>
        <v>951.94631609023213</v>
      </c>
    </row>
    <row r="178" spans="1:8" ht="17" thickBot="1"/>
    <row r="179" spans="1:8" s="136" customFormat="1" ht="20" thickBot="1">
      <c r="B179" s="169" t="s">
        <v>118</v>
      </c>
      <c r="C179" s="171"/>
      <c r="D179" s="171"/>
      <c r="E179" s="172">
        <f>E173-E177</f>
        <v>1208.6706328618236</v>
      </c>
      <c r="F179" s="166"/>
    </row>
    <row r="181" spans="1:8" ht="16" customHeight="1">
      <c r="G181" s="73" t="s">
        <v>150</v>
      </c>
      <c r="H181" s="73"/>
    </row>
    <row r="182" spans="1:8">
      <c r="A182" s="22"/>
      <c r="B182" s="63" t="s">
        <v>122</v>
      </c>
      <c r="E182" s="1">
        <f>D149*D153</f>
        <v>1555.34310916</v>
      </c>
      <c r="G182" s="73"/>
      <c r="H182" s="73"/>
    </row>
    <row r="183" spans="1:8" ht="16" customHeight="1">
      <c r="A183" s="22"/>
      <c r="B183" s="55" t="s">
        <v>146</v>
      </c>
      <c r="D183" s="57" t="s">
        <v>133</v>
      </c>
      <c r="E183" s="65">
        <f>E182*0.1259</f>
        <v>195.81769744324401</v>
      </c>
      <c r="G183" s="73"/>
      <c r="H183" s="73"/>
    </row>
    <row r="184" spans="1:8">
      <c r="A184" s="22"/>
      <c r="B184" t="s">
        <v>123</v>
      </c>
      <c r="E184" s="1">
        <f>(E21*D153)/F17</f>
        <v>614.36052811820002</v>
      </c>
      <c r="F184" s="61"/>
      <c r="G184" s="73"/>
      <c r="H184" s="73"/>
    </row>
    <row r="185" spans="1:8">
      <c r="A185" s="22"/>
      <c r="B185" s="55" t="s">
        <v>124</v>
      </c>
      <c r="E185" s="1">
        <f>E155*D153/F17</f>
        <v>81.689189189189207</v>
      </c>
      <c r="F185" s="61"/>
      <c r="G185" s="73"/>
      <c r="H185" s="73"/>
    </row>
    <row r="186" spans="1:8">
      <c r="A186" s="22"/>
      <c r="B186" t="s">
        <v>126</v>
      </c>
      <c r="E186" s="1">
        <f>E19*D153/F17</f>
        <v>110.60218687999998</v>
      </c>
      <c r="F186" s="61"/>
      <c r="G186" s="61"/>
      <c r="H186" s="61"/>
    </row>
    <row r="187" spans="1:8">
      <c r="A187" s="22"/>
      <c r="B187" t="s">
        <v>127</v>
      </c>
      <c r="E187" s="56">
        <f>E20*D153/F17</f>
        <v>18.197000000000003</v>
      </c>
    </row>
    <row r="188" spans="1:8">
      <c r="E188" s="23">
        <f>SUM(E182:E187)</f>
        <v>2576.0097107906331</v>
      </c>
    </row>
    <row r="189" spans="1:8">
      <c r="A189" s="12"/>
      <c r="B189" t="s">
        <v>17</v>
      </c>
      <c r="D189" s="57" t="s">
        <v>133</v>
      </c>
      <c r="E189" s="64">
        <f>E188*0.1682</f>
        <v>433.28483335498447</v>
      </c>
    </row>
    <row r="190" spans="1:8">
      <c r="A190" s="12"/>
      <c r="B190" t="s">
        <v>28</v>
      </c>
      <c r="E190" s="1">
        <f>IF(D20=0,D129)+IF(D20=1,E129)+IF(D20=2,F129)+IF(D20=3,G129)*IF(D20=4,H129)</f>
        <v>586.9967283848174</v>
      </c>
    </row>
    <row r="191" spans="1:8">
      <c r="A191" s="12"/>
      <c r="B191" t="s">
        <v>147</v>
      </c>
      <c r="E191" s="1">
        <f>(E61*D153)/F17</f>
        <v>190.86177046466892</v>
      </c>
    </row>
    <row r="192" spans="1:8">
      <c r="E192" s="13">
        <f>SUM(E189:E191)</f>
        <v>1211.1433322044709</v>
      </c>
    </row>
    <row r="193" spans="1:6" ht="17" thickBot="1">
      <c r="E193" s="1"/>
    </row>
    <row r="194" spans="1:6" s="136" customFormat="1" ht="20" thickBot="1">
      <c r="B194" s="169" t="s">
        <v>122</v>
      </c>
      <c r="C194" s="170"/>
      <c r="D194" s="171"/>
      <c r="E194" s="172">
        <f>E188-E192</f>
        <v>1364.8663785861622</v>
      </c>
      <c r="F194" s="166"/>
    </row>
    <row r="197" spans="1:6">
      <c r="A197" s="22"/>
      <c r="B197" s="63" t="s">
        <v>128</v>
      </c>
      <c r="E197" s="1">
        <f>D149*F17</f>
        <v>2508.6179179999999</v>
      </c>
    </row>
    <row r="198" spans="1:6">
      <c r="A198" s="22"/>
      <c r="B198" s="55" t="s">
        <v>129</v>
      </c>
      <c r="D198" s="57" t="s">
        <v>133</v>
      </c>
      <c r="E198" s="64">
        <f>E197*0.1259</f>
        <v>315.83499587620003</v>
      </c>
    </row>
    <row r="199" spans="1:6">
      <c r="A199" s="22"/>
      <c r="B199" t="s">
        <v>130</v>
      </c>
      <c r="E199" s="1">
        <f>(E21*F17)/F17</f>
        <v>990.90407761000006</v>
      </c>
    </row>
    <row r="200" spans="1:6">
      <c r="A200" s="22"/>
      <c r="B200" s="55" t="s">
        <v>131</v>
      </c>
      <c r="E200" s="1">
        <f>E155</f>
        <v>131.75675675675677</v>
      </c>
    </row>
    <row r="201" spans="1:6">
      <c r="A201" s="22"/>
      <c r="B201" t="s">
        <v>162</v>
      </c>
      <c r="E201" s="1">
        <f>E19*F17/F17</f>
        <v>178.39062399999997</v>
      </c>
    </row>
    <row r="202" spans="1:6">
      <c r="A202" s="22"/>
      <c r="B202" t="s">
        <v>120</v>
      </c>
      <c r="E202">
        <f>E20*F17/F17</f>
        <v>29.35</v>
      </c>
    </row>
    <row r="203" spans="1:6">
      <c r="A203" s="22"/>
      <c r="B203" t="s">
        <v>138</v>
      </c>
      <c r="D203" s="57" t="s">
        <v>133</v>
      </c>
    </row>
    <row r="204" spans="1:6">
      <c r="A204" s="22"/>
      <c r="B204" t="s">
        <v>139</v>
      </c>
      <c r="D204" s="57" t="s">
        <v>133</v>
      </c>
      <c r="E204" s="1">
        <f>E197*0.04166</f>
        <v>104.50902246388</v>
      </c>
    </row>
    <row r="205" spans="1:6">
      <c r="A205" s="22"/>
      <c r="B205" t="s">
        <v>140</v>
      </c>
      <c r="E205" s="1">
        <f>E199*0.04166</f>
        <v>41.281063873232604</v>
      </c>
    </row>
    <row r="206" spans="1:6">
      <c r="A206" s="22"/>
      <c r="B206" t="s">
        <v>141</v>
      </c>
      <c r="E206" s="1">
        <f>(E198+E201)*0.04166</f>
        <v>20.589439324042491</v>
      </c>
    </row>
    <row r="207" spans="1:6">
      <c r="E207" s="23">
        <f>SUM(E197:E206)</f>
        <v>4321.2338979041115</v>
      </c>
    </row>
    <row r="208" spans="1:6">
      <c r="A208" s="12"/>
      <c r="B208" t="s">
        <v>17</v>
      </c>
      <c r="D208" s="57" t="s">
        <v>133</v>
      </c>
      <c r="E208" s="64">
        <f>E207*0.1682</f>
        <v>726.83154162747155</v>
      </c>
    </row>
    <row r="209" spans="1:8">
      <c r="A209" s="12"/>
      <c r="B209" t="s">
        <v>28</v>
      </c>
      <c r="E209" s="1">
        <f>IF(D20=0,D143)+IF(D20=1,E143)+IF(D20=2,F143)+IF(D20=3,G143)*IF(D20=4,H143)</f>
        <v>1307.2252680189854</v>
      </c>
    </row>
    <row r="210" spans="1:8">
      <c r="A210" s="12"/>
      <c r="B210" t="s">
        <v>147</v>
      </c>
      <c r="E210" s="1">
        <f>E61</f>
        <v>307.84156526559502</v>
      </c>
    </row>
    <row r="211" spans="1:8">
      <c r="E211" s="13">
        <f>SUM(E208:E210)</f>
        <v>2341.8983749120521</v>
      </c>
    </row>
    <row r="212" spans="1:8" ht="17" thickBot="1"/>
    <row r="213" spans="1:8" s="136" customFormat="1" ht="20" thickBot="1">
      <c r="B213" s="169" t="s">
        <v>128</v>
      </c>
      <c r="C213" s="171"/>
      <c r="D213" s="171"/>
      <c r="E213" s="172">
        <f>E207-E211</f>
        <v>1979.3355229920594</v>
      </c>
      <c r="F213" s="166"/>
    </row>
    <row r="215" spans="1:8" ht="19">
      <c r="B215" s="68" t="s">
        <v>0</v>
      </c>
      <c r="C215" s="68"/>
      <c r="D215" s="68"/>
      <c r="E215" s="68"/>
      <c r="F215" s="68"/>
      <c r="G215" s="68"/>
      <c r="H215" s="68"/>
    </row>
    <row r="217" spans="1:8">
      <c r="D217" s="34">
        <v>2025</v>
      </c>
    </row>
    <row r="218" spans="1:8">
      <c r="C218" s="33" t="s">
        <v>1</v>
      </c>
      <c r="D218" s="1">
        <v>2589.31</v>
      </c>
    </row>
    <row r="219" spans="1:8">
      <c r="C219" s="33" t="s">
        <v>2</v>
      </c>
      <c r="D219" s="1">
        <v>2508.87</v>
      </c>
    </row>
    <row r="220" spans="1:8">
      <c r="C220" s="33" t="s">
        <v>3</v>
      </c>
      <c r="D220" s="1">
        <v>2428.41</v>
      </c>
    </row>
    <row r="221" spans="1:8">
      <c r="C221" s="33" t="s">
        <v>4</v>
      </c>
      <c r="D221" s="1">
        <v>2364.0700000000002</v>
      </c>
    </row>
    <row r="222" spans="1:8">
      <c r="C222" s="33">
        <v>1</v>
      </c>
      <c r="D222" s="1">
        <v>2234.94</v>
      </c>
    </row>
    <row r="223" spans="1:8">
      <c r="C223" s="33">
        <v>2</v>
      </c>
      <c r="D223" s="1">
        <v>2187.5300000000002</v>
      </c>
    </row>
    <row r="224" spans="1:8" ht="15.75" customHeight="1">
      <c r="C224" s="33">
        <v>3</v>
      </c>
      <c r="D224" s="1">
        <v>2087.69</v>
      </c>
    </row>
    <row r="225" spans="3:4" ht="15.75" customHeight="1">
      <c r="C225" s="33">
        <v>4</v>
      </c>
      <c r="D225" s="1">
        <v>1963.82</v>
      </c>
    </row>
    <row r="226" spans="3:4" ht="15.75" customHeight="1">
      <c r="C226" s="33">
        <v>5</v>
      </c>
      <c r="D226" s="1">
        <v>1892.43</v>
      </c>
    </row>
    <row r="227" spans="3:4">
      <c r="C227" s="33">
        <v>6</v>
      </c>
      <c r="D227" s="1">
        <v>1717.38</v>
      </c>
    </row>
    <row r="228" spans="3:4">
      <c r="C228" s="33">
        <v>7</v>
      </c>
      <c r="D228" s="1">
        <v>1667.92</v>
      </c>
    </row>
    <row r="229" spans="3:4">
      <c r="C229" s="33">
        <v>8</v>
      </c>
      <c r="D229" s="1">
        <v>1570.34</v>
      </c>
    </row>
    <row r="230" spans="3:4">
      <c r="C230" s="33">
        <v>9</v>
      </c>
      <c r="D230" s="1">
        <v>1454.83</v>
      </c>
    </row>
    <row r="231" spans="3:4">
      <c r="C231" s="33">
        <v>10</v>
      </c>
      <c r="D231" s="1">
        <v>1424.81</v>
      </c>
    </row>
    <row r="232" spans="3:4">
      <c r="C232" s="33">
        <v>11</v>
      </c>
      <c r="D232" s="1">
        <v>1376.89</v>
      </c>
    </row>
    <row r="233" spans="3:4">
      <c r="C233" s="33">
        <v>12</v>
      </c>
      <c r="D233" s="1">
        <v>1350.16</v>
      </c>
    </row>
    <row r="234" spans="3:4">
      <c r="C234" s="33">
        <v>13</v>
      </c>
      <c r="D234" s="1">
        <v>1321.14</v>
      </c>
    </row>
    <row r="235" spans="3:4">
      <c r="C235" s="33">
        <v>14</v>
      </c>
      <c r="D235" s="1">
        <v>1309.8</v>
      </c>
    </row>
    <row r="236" spans="3:4">
      <c r="C236" s="33">
        <v>15</v>
      </c>
      <c r="D236" s="1">
        <v>1299.21</v>
      </c>
    </row>
    <row r="237" spans="3:4">
      <c r="C237" s="33">
        <v>16</v>
      </c>
      <c r="D237" s="1">
        <v>1285.07</v>
      </c>
    </row>
    <row r="238" spans="3:4">
      <c r="C238" s="33">
        <v>17</v>
      </c>
      <c r="D238" s="1">
        <v>1275.99</v>
      </c>
    </row>
    <row r="239" spans="3:4">
      <c r="C239" s="33">
        <v>18</v>
      </c>
      <c r="D239" s="1">
        <v>1266.4100000000001</v>
      </c>
    </row>
    <row r="240" spans="3:4">
      <c r="C240" s="33">
        <v>19</v>
      </c>
      <c r="D240" s="1">
        <v>1258.08</v>
      </c>
    </row>
    <row r="241" spans="2:8">
      <c r="C241" s="33">
        <v>20</v>
      </c>
      <c r="D241" s="1">
        <v>1224.28</v>
      </c>
    </row>
    <row r="242" spans="2:8">
      <c r="C242" s="33">
        <v>21</v>
      </c>
      <c r="D242" s="1">
        <v>1216.95</v>
      </c>
    </row>
    <row r="243" spans="2:8">
      <c r="C243" s="33">
        <v>22</v>
      </c>
      <c r="D243" s="1">
        <v>1202.6300000000001</v>
      </c>
    </row>
    <row r="244" spans="2:8">
      <c r="C244" s="33">
        <v>23</v>
      </c>
      <c r="D244" s="1">
        <v>1195.82</v>
      </c>
    </row>
    <row r="246" spans="2:8" ht="22">
      <c r="B246" s="167" t="s">
        <v>166</v>
      </c>
      <c r="C246" s="168"/>
      <c r="D246" s="168"/>
      <c r="E246" s="168"/>
      <c r="F246" s="168"/>
      <c r="G246" s="168"/>
      <c r="H246" s="168"/>
    </row>
    <row r="248" spans="2:8">
      <c r="C248" s="67"/>
    </row>
  </sheetData>
  <mergeCells count="30">
    <mergeCell ref="C149:C151"/>
    <mergeCell ref="D79:H79"/>
    <mergeCell ref="B1:C1"/>
    <mergeCell ref="D1:E1"/>
    <mergeCell ref="F15:G16"/>
    <mergeCell ref="F17:G17"/>
    <mergeCell ref="H15:K17"/>
    <mergeCell ref="B87:C87"/>
    <mergeCell ref="D91:H91"/>
    <mergeCell ref="B92:C92"/>
    <mergeCell ref="B134:C134"/>
    <mergeCell ref="B82:C82"/>
    <mergeCell ref="B83:C83"/>
    <mergeCell ref="B84:C84"/>
    <mergeCell ref="B85:C85"/>
    <mergeCell ref="B86:C86"/>
    <mergeCell ref="B246:H246"/>
    <mergeCell ref="B161:H161"/>
    <mergeCell ref="B77:H77"/>
    <mergeCell ref="H11:H13"/>
    <mergeCell ref="B215:H215"/>
    <mergeCell ref="D105:H105"/>
    <mergeCell ref="B106:C106"/>
    <mergeCell ref="D119:H119"/>
    <mergeCell ref="B120:C120"/>
    <mergeCell ref="D133:H133"/>
    <mergeCell ref="G181:H185"/>
    <mergeCell ref="D80:H80"/>
    <mergeCell ref="B80:C80"/>
    <mergeCell ref="B81:C81"/>
  </mergeCells>
  <conditionalFormatting sqref="F17">
    <cfRule type="cellIs" dxfId="2" priority="1" operator="lessThan">
      <formula>162.5</formula>
    </cfRule>
    <cfRule type="cellIs" dxfId="1" priority="2" operator="greaterThan">
      <formula>162.5</formula>
    </cfRule>
    <cfRule type="cellIs" dxfId="0" priority="5" operator="equal">
      <formula>162.5</formula>
    </cfRule>
  </conditionalFormatting>
  <dataValidations count="1">
    <dataValidation type="list" allowBlank="1" showInputMessage="1" showErrorMessage="1" sqref="G217 D3" xr:uid="{F78F79A9-1681-47F6-8291-D40130FE1FD4}">
      <formula1>$C$218:$C$244</formula1>
    </dataValidation>
  </dataValidations>
  <hyperlinks>
    <hyperlink ref="B246" r:id="rId1" xr:uid="{457A93BE-AFFF-4A4D-9E66-E16729CE5C6A}"/>
  </hyperlinks>
  <pageMargins left="0.7" right="0.7" top="0.75" bottom="0.75" header="0.3" footer="0.3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92FDDCE-8717-954E-91B6-FF62F23CB50F}">
          <x14:formula1>
            <xm:f>Temp!$I$4:$I$5</xm:f>
          </x14:formula1>
          <xm:sqref>D5</xm:sqref>
        </x14:dataValidation>
        <x14:dataValidation type="list" allowBlank="1" showInputMessage="1" showErrorMessage="1" xr:uid="{403AF0AC-A777-41AD-BFD3-F4740ABB7CE7}">
          <x14:formula1>
            <xm:f>Temp!$K$4:$K$9</xm:f>
          </x14:formula1>
          <xm:sqref>D7</xm:sqref>
        </x14:dataValidation>
        <x14:dataValidation type="list" allowBlank="1" showInputMessage="1" showErrorMessage="1" xr:uid="{946A4F17-889E-B34D-944C-01C59FCDDF42}">
          <x14:formula1>
            <xm:f>Temp!$J$3:$J$8</xm:f>
          </x14:formula1>
          <xm:sqref>D20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BC18B-2157-2D4B-9734-7AE31C237C3D}">
  <dimension ref="B3:K11"/>
  <sheetViews>
    <sheetView workbookViewId="0">
      <selection activeCell="G17" sqref="G17"/>
    </sheetView>
  </sheetViews>
  <sheetFormatPr baseColWidth="10" defaultColWidth="11" defaultRowHeight="16"/>
  <cols>
    <col min="2" max="2" width="18.33203125" customWidth="1"/>
    <col min="4" max="5" width="13" customWidth="1"/>
    <col min="9" max="10" width="7.83203125" customWidth="1"/>
  </cols>
  <sheetData>
    <row r="3" spans="2:11" ht="17" thickBot="1">
      <c r="I3" s="107" t="s">
        <v>103</v>
      </c>
      <c r="J3" s="107"/>
      <c r="K3" s="107"/>
    </row>
    <row r="4" spans="2:11" ht="17" thickBot="1">
      <c r="B4" s="104" t="s">
        <v>18</v>
      </c>
      <c r="C4" s="105"/>
      <c r="D4" s="105"/>
      <c r="E4" s="106"/>
      <c r="I4" t="s">
        <v>45</v>
      </c>
      <c r="J4">
        <v>1</v>
      </c>
      <c r="K4">
        <v>5</v>
      </c>
    </row>
    <row r="5" spans="2:11">
      <c r="B5" s="5"/>
      <c r="C5" s="6" t="s">
        <v>25</v>
      </c>
      <c r="D5" s="6" t="s">
        <v>26</v>
      </c>
      <c r="E5" s="6" t="s">
        <v>27</v>
      </c>
      <c r="I5" t="s">
        <v>46</v>
      </c>
      <c r="J5">
        <v>2</v>
      </c>
      <c r="K5">
        <v>10</v>
      </c>
    </row>
    <row r="6" spans="2:11">
      <c r="B6" s="7" t="s">
        <v>19</v>
      </c>
      <c r="C6" s="5">
        <v>9</v>
      </c>
      <c r="D6" s="5">
        <v>0</v>
      </c>
      <c r="E6" s="5">
        <v>9</v>
      </c>
      <c r="J6">
        <v>3</v>
      </c>
      <c r="K6">
        <v>15</v>
      </c>
    </row>
    <row r="7" spans="2:11">
      <c r="B7" s="7" t="s">
        <v>20</v>
      </c>
      <c r="C7" s="5">
        <v>20</v>
      </c>
      <c r="D7" s="5">
        <v>0</v>
      </c>
      <c r="E7" s="5">
        <v>9</v>
      </c>
      <c r="J7">
        <v>4</v>
      </c>
      <c r="K7">
        <v>20</v>
      </c>
    </row>
    <row r="8" spans="2:11" ht="16" customHeight="1">
      <c r="B8" s="8" t="s">
        <v>21</v>
      </c>
      <c r="C8" s="5">
        <v>26</v>
      </c>
      <c r="D8" s="5">
        <v>26</v>
      </c>
      <c r="E8" s="5">
        <v>26</v>
      </c>
      <c r="J8">
        <v>5</v>
      </c>
      <c r="K8">
        <v>25</v>
      </c>
    </row>
    <row r="9" spans="2:11">
      <c r="B9" s="8" t="s">
        <v>22</v>
      </c>
      <c r="C9" s="5">
        <v>34</v>
      </c>
      <c r="D9" s="5">
        <v>34</v>
      </c>
      <c r="E9" s="5">
        <v>34</v>
      </c>
      <c r="K9">
        <v>30</v>
      </c>
    </row>
    <row r="10" spans="2:11">
      <c r="B10" s="8" t="s">
        <v>23</v>
      </c>
      <c r="C10" s="5">
        <v>39</v>
      </c>
      <c r="D10" s="5">
        <v>39</v>
      </c>
      <c r="E10" s="5">
        <v>39</v>
      </c>
    </row>
    <row r="11" spans="2:11">
      <c r="B11" s="8" t="s">
        <v>24</v>
      </c>
      <c r="C11" s="5">
        <v>44</v>
      </c>
      <c r="D11" s="5">
        <v>44</v>
      </c>
      <c r="E11" s="5">
        <v>44</v>
      </c>
    </row>
  </sheetData>
  <mergeCells count="2">
    <mergeCell ref="B4:E4"/>
    <mergeCell ref="I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Calc</vt:lpstr>
      <vt:lpstr>Temp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Georgilas K</dc:creator>
  <cp:keywords/>
  <dc:description/>
  <cp:lastModifiedBy>Georgilas K.</cp:lastModifiedBy>
  <dcterms:created xsi:type="dcterms:W3CDTF">2026-02-12T07:52:53Z</dcterms:created>
  <dcterms:modified xsi:type="dcterms:W3CDTF">2026-02-27T07:07:26Z</dcterms:modified>
  <cp:category/>
</cp:coreProperties>
</file>