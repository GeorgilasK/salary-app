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stas/Library/Mobile Documents/com~apple~CloudDocs/ELPE Rest/Payroll/00_Excels for Payroll/"/>
    </mc:Choice>
  </mc:AlternateContent>
  <xr:revisionPtr revIDLastSave="0" documentId="13_ncr:1_{143FE09E-FDA2-6542-94F8-A3BA812B573F}" xr6:coauthVersionLast="47" xr6:coauthVersionMax="47" xr10:uidLastSave="{00000000-0000-0000-0000-000000000000}"/>
  <bookViews>
    <workbookView xWindow="0" yWindow="680" windowWidth="29400" windowHeight="16760" xr2:uid="{13E5C503-161E-9E4B-9D6D-E45CBD16ADA7}"/>
  </bookViews>
  <sheets>
    <sheet name="Calc" sheetId="1" r:id="rId1"/>
    <sheet name="Tem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1" i="1" l="1"/>
  <c r="E8" i="1"/>
  <c r="E5" i="1"/>
  <c r="G19" i="1"/>
  <c r="D179" i="1" l="1"/>
  <c r="E182" i="1"/>
  <c r="E232" i="1" s="1"/>
  <c r="E233" i="1"/>
  <c r="E197" i="1"/>
  <c r="D180" i="1"/>
  <c r="E22" i="1"/>
  <c r="E234" i="1" s="1"/>
  <c r="E196" i="1" l="1"/>
  <c r="E217" i="1"/>
  <c r="E216" i="1"/>
  <c r="E218" i="1"/>
  <c r="E198" i="1"/>
  <c r="E62" i="1" l="1"/>
  <c r="E63" i="1" l="1"/>
  <c r="E9" i="1"/>
  <c r="E6" i="1" l="1"/>
  <c r="E11" i="1" s="1"/>
  <c r="E7" i="1" s="1"/>
  <c r="E12" i="1" l="1"/>
  <c r="E14" i="1" s="1"/>
  <c r="E59" i="1" s="1"/>
  <c r="D177" i="1" l="1"/>
  <c r="D175" i="1"/>
  <c r="E24" i="1"/>
  <c r="E231" i="1" s="1"/>
  <c r="E237" i="1" s="1"/>
  <c r="E213" i="1" l="1"/>
  <c r="E214" i="1" s="1"/>
  <c r="E33" i="1"/>
  <c r="E229" i="1"/>
  <c r="E66" i="1"/>
  <c r="E215" i="1"/>
  <c r="E195" i="1"/>
  <c r="E201" i="1" s="1"/>
  <c r="E18" i="1"/>
  <c r="E19" i="1"/>
  <c r="E40" i="1"/>
  <c r="E30" i="1"/>
  <c r="E52" i="1"/>
  <c r="E48" i="1"/>
  <c r="E44" i="1"/>
  <c r="E39" i="1"/>
  <c r="E36" i="1"/>
  <c r="E41" i="1"/>
  <c r="E35" i="1"/>
  <c r="E38" i="1"/>
  <c r="E53" i="1"/>
  <c r="E49" i="1"/>
  <c r="E45" i="1"/>
  <c r="E51" i="1"/>
  <c r="E47" i="1"/>
  <c r="E43" i="1"/>
  <c r="E31" i="1"/>
  <c r="E29" i="1"/>
  <c r="E34" i="1"/>
  <c r="D176" i="1"/>
  <c r="E17" i="1"/>
  <c r="E230" i="1" l="1"/>
  <c r="E238" i="1" s="1"/>
  <c r="E236" i="1"/>
  <c r="E239" i="1" s="1"/>
  <c r="E219" i="1"/>
  <c r="E220" i="1" s="1"/>
  <c r="E206" i="1"/>
  <c r="E242" i="1"/>
  <c r="E222" i="1"/>
  <c r="E56" i="1"/>
  <c r="E193" i="1"/>
  <c r="E75" i="1" l="1"/>
  <c r="C105" i="1" s="1"/>
  <c r="E194" i="1"/>
  <c r="E202" i="1" s="1"/>
  <c r="E200" i="1"/>
  <c r="E240" i="1"/>
  <c r="C156" i="1"/>
  <c r="C139" i="1"/>
  <c r="C142" i="1" s="1"/>
  <c r="C109" i="1" l="1"/>
  <c r="C111" i="1"/>
  <c r="C108" i="1"/>
  <c r="F108" i="1" s="1"/>
  <c r="C112" i="1"/>
  <c r="C113" i="1"/>
  <c r="H113" i="1" s="1"/>
  <c r="C110" i="1"/>
  <c r="E203" i="1"/>
  <c r="C162" i="1"/>
  <c r="C163" i="1"/>
  <c r="C164" i="1"/>
  <c r="C159" i="1"/>
  <c r="C160" i="1"/>
  <c r="C161" i="1"/>
  <c r="C147" i="1"/>
  <c r="H147" i="1" s="1"/>
  <c r="C144" i="1"/>
  <c r="H144" i="1" s="1"/>
  <c r="C145" i="1"/>
  <c r="F145" i="1" s="1"/>
  <c r="C143" i="1"/>
  <c r="E143" i="1" s="1"/>
  <c r="C146" i="1"/>
  <c r="E146" i="1" s="1"/>
  <c r="G142" i="1"/>
  <c r="D142" i="1"/>
  <c r="F142" i="1"/>
  <c r="E142" i="1"/>
  <c r="H142" i="1"/>
  <c r="H108" i="1"/>
  <c r="E109" i="1"/>
  <c r="D109" i="1"/>
  <c r="F109" i="1"/>
  <c r="D113" i="1" l="1"/>
  <c r="E108" i="1"/>
  <c r="G108" i="1"/>
  <c r="E113" i="1"/>
  <c r="D108" i="1"/>
  <c r="G113" i="1"/>
  <c r="F113" i="1"/>
  <c r="C122" i="1"/>
  <c r="E204" i="1"/>
  <c r="E144" i="1"/>
  <c r="H161" i="1"/>
  <c r="F161" i="1"/>
  <c r="D161" i="1"/>
  <c r="E161" i="1"/>
  <c r="G161" i="1"/>
  <c r="F144" i="1"/>
  <c r="D147" i="1"/>
  <c r="D163" i="1"/>
  <c r="E163" i="1"/>
  <c r="G163" i="1"/>
  <c r="H163" i="1"/>
  <c r="F163" i="1"/>
  <c r="D160" i="1"/>
  <c r="H160" i="1"/>
  <c r="F160" i="1"/>
  <c r="G160" i="1"/>
  <c r="E160" i="1"/>
  <c r="E147" i="1"/>
  <c r="G159" i="1"/>
  <c r="D159" i="1"/>
  <c r="H159" i="1"/>
  <c r="F159" i="1"/>
  <c r="E159" i="1"/>
  <c r="F147" i="1"/>
  <c r="D164" i="1"/>
  <c r="G164" i="1"/>
  <c r="E164" i="1"/>
  <c r="H164" i="1"/>
  <c r="F164" i="1"/>
  <c r="G147" i="1"/>
  <c r="E162" i="1"/>
  <c r="G162" i="1"/>
  <c r="D162" i="1"/>
  <c r="H162" i="1"/>
  <c r="F162" i="1"/>
  <c r="D145" i="1"/>
  <c r="H145" i="1"/>
  <c r="G144" i="1"/>
  <c r="G145" i="1"/>
  <c r="H143" i="1"/>
  <c r="G143" i="1"/>
  <c r="D143" i="1"/>
  <c r="D144" i="1"/>
  <c r="F143" i="1"/>
  <c r="E145" i="1"/>
  <c r="H146" i="1"/>
  <c r="D146" i="1"/>
  <c r="F146" i="1"/>
  <c r="G146" i="1"/>
  <c r="H109" i="1"/>
  <c r="G109" i="1"/>
  <c r="D110" i="1"/>
  <c r="F110" i="1"/>
  <c r="E110" i="1"/>
  <c r="G110" i="1"/>
  <c r="H110" i="1"/>
  <c r="E166" i="1" l="1"/>
  <c r="E167" i="1" s="1"/>
  <c r="E241" i="1" s="1"/>
  <c r="E243" i="1" s="1"/>
  <c r="E245" i="1" s="1"/>
  <c r="C125" i="1"/>
  <c r="C130" i="1"/>
  <c r="C126" i="1"/>
  <c r="C128" i="1"/>
  <c r="C129" i="1"/>
  <c r="C127" i="1"/>
  <c r="E149" i="1"/>
  <c r="E150" i="1" s="1"/>
  <c r="G166" i="1"/>
  <c r="G167" i="1" s="1"/>
  <c r="F166" i="1"/>
  <c r="F167" i="1" s="1"/>
  <c r="H166" i="1"/>
  <c r="H167" i="1" s="1"/>
  <c r="D166" i="1"/>
  <c r="D167" i="1" s="1"/>
  <c r="G149" i="1"/>
  <c r="G150" i="1" s="1"/>
  <c r="F149" i="1"/>
  <c r="F150" i="1" s="1"/>
  <c r="D149" i="1"/>
  <c r="D150" i="1" s="1"/>
  <c r="E221" i="1"/>
  <c r="E223" i="1" s="1"/>
  <c r="E225" i="1" s="1"/>
  <c r="H111" i="1"/>
  <c r="G111" i="1"/>
  <c r="E111" i="1"/>
  <c r="F111" i="1"/>
  <c r="D111" i="1"/>
  <c r="H126" i="1" l="1"/>
  <c r="F126" i="1"/>
  <c r="D126" i="1"/>
  <c r="E126" i="1"/>
  <c r="G126" i="1"/>
  <c r="D130" i="1"/>
  <c r="F130" i="1"/>
  <c r="E130" i="1"/>
  <c r="G130" i="1"/>
  <c r="H130" i="1"/>
  <c r="H125" i="1"/>
  <c r="G125" i="1"/>
  <c r="F125" i="1"/>
  <c r="D125" i="1"/>
  <c r="E125" i="1"/>
  <c r="H127" i="1"/>
  <c r="E127" i="1"/>
  <c r="G127" i="1"/>
  <c r="D127" i="1"/>
  <c r="F127" i="1"/>
  <c r="G129" i="1"/>
  <c r="G128" i="1"/>
  <c r="G132" i="1" l="1"/>
  <c r="G133" i="1" s="1"/>
  <c r="H128" i="1"/>
  <c r="H149" i="1" s="1"/>
  <c r="H150" i="1" s="1"/>
  <c r="F128" i="1"/>
  <c r="F129" i="1"/>
  <c r="D129" i="1"/>
  <c r="H129" i="1"/>
  <c r="E129" i="1"/>
  <c r="E128" i="1"/>
  <c r="D128" i="1"/>
  <c r="E132" i="1" l="1"/>
  <c r="D132" i="1"/>
  <c r="D133" i="1" s="1"/>
  <c r="F132" i="1"/>
  <c r="F133" i="1" s="1"/>
  <c r="E133" i="1"/>
  <c r="D112" i="1"/>
  <c r="D115" i="1" s="1"/>
  <c r="D116" i="1" s="1"/>
  <c r="H112" i="1"/>
  <c r="H115" i="1" s="1"/>
  <c r="H116" i="1" s="1"/>
  <c r="G112" i="1"/>
  <c r="G115" i="1" s="1"/>
  <c r="G116" i="1" s="1"/>
  <c r="E112" i="1"/>
  <c r="E115" i="1" s="1"/>
  <c r="E116" i="1" s="1"/>
  <c r="E61" i="1" s="1"/>
  <c r="E72" i="1" s="1"/>
  <c r="E79" i="1" s="1"/>
  <c r="F112" i="1"/>
  <c r="F115" i="1" s="1"/>
  <c r="F116" i="1" s="1"/>
  <c r="E205" i="1" l="1"/>
  <c r="E207" i="1" s="1"/>
  <c r="E209" i="1" s="1"/>
  <c r="H132" i="1"/>
  <c r="H1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Kostas</author>
    <author>Unit34Console</author>
    <author>Georgilas K.</author>
  </authors>
  <commentList>
    <comment ref="B17" authorId="0" shapeId="0" xr:uid="{3DE72B4B-953E-1942-A69C-4F3A556A9D8D}">
      <text>
        <r>
          <rPr>
            <b/>
            <sz val="10"/>
            <color rgb="FF000000"/>
            <rFont val="Aptos Narrow"/>
          </rPr>
          <t>Georgilas</t>
        </r>
        <r>
          <rPr>
            <sz val="10"/>
            <color rgb="FF000000"/>
            <rFont val="Aptos Narrow"/>
          </rPr>
          <t xml:space="preserve"> K.</t>
        </r>
        <r>
          <rPr>
            <b/>
            <sz val="10"/>
            <color rgb="FF000000"/>
            <rFont val="Tahoma"/>
            <family val="2"/>
            <charset val="161"/>
          </rPr>
          <t>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 xml:space="preserve">39 (Ώρες Εβδομαδιαίως) 
</t>
        </r>
        <r>
          <rPr>
            <sz val="10"/>
            <color rgb="FF000000"/>
            <rFont val="Tahoma"/>
            <family val="2"/>
            <charset val="161"/>
          </rPr>
          <t xml:space="preserve">  /  6 (Ημέρες Εργασίας Εβδομαδιαίως)  
</t>
        </r>
        <r>
          <rPr>
            <sz val="10"/>
            <color rgb="FF000000"/>
            <rFont val="Tahoma"/>
            <family val="2"/>
            <charset val="161"/>
          </rPr>
          <t xml:space="preserve"> * 25 (Ημέρες Εργασίας Μηνιαίως) 
</t>
        </r>
        <r>
          <rPr>
            <sz val="10"/>
            <color rgb="FF000000"/>
            <rFont val="Tahoma"/>
            <family val="2"/>
            <charset val="161"/>
          </rPr>
          <t xml:space="preserve"> = 162,50 Ώρες Μισθού
</t>
        </r>
        <r>
          <rPr>
            <sz val="10"/>
            <color rgb="FF000000"/>
            <rFont val="Tahoma"/>
            <family val="2"/>
            <charset val="161"/>
          </rPr>
          <t>(δηλ. 162 Ώρες και 30 λεπτά της ώρας)</t>
        </r>
      </text>
    </comment>
    <comment ref="D175" authorId="1" shapeId="0" xr:uid="{4F26610A-2D88-4624-9546-CA5871FF1568}">
      <text>
        <r>
          <rPr>
            <b/>
            <sz val="9"/>
            <color indexed="81"/>
            <rFont val="Tahoma"/>
            <family val="2"/>
            <charset val="161"/>
          </rPr>
          <t xml:space="preserve">Georgilas K. :
</t>
        </r>
        <r>
          <rPr>
            <sz val="9"/>
            <color indexed="81"/>
            <rFont val="Tahoma"/>
            <family val="2"/>
            <charset val="161"/>
          </rPr>
          <t xml:space="preserve">
Καταβαλλόμενες Αποδοχές
 / 162,50</t>
        </r>
      </text>
    </comment>
    <comment ref="D176" authorId="1" shapeId="0" xr:uid="{C7E0C7B1-721F-46CA-B0FB-AD368E7F3970}">
      <text>
        <r>
          <rPr>
            <b/>
            <sz val="9"/>
            <color indexed="81"/>
            <rFont val="Tahoma"/>
            <family val="2"/>
            <charset val="161"/>
          </rPr>
          <t>Georgilas K. :</t>
        </r>
        <r>
          <rPr>
            <sz val="9"/>
            <color indexed="81"/>
            <rFont val="Tahoma"/>
            <family val="2"/>
            <charset val="161"/>
          </rPr>
          <t xml:space="preserve"> 
Ωρομίσθιο x  6,50 Ώρες Εργασίας Ημερησίως</t>
        </r>
      </text>
    </comment>
    <comment ref="D177" authorId="1" shapeId="0" xr:uid="{904BB8B4-AADF-4546-B8AB-4EBC969965D1}">
      <text>
        <r>
          <rPr>
            <b/>
            <sz val="9"/>
            <color rgb="FF000000"/>
            <rFont val="Tahoma"/>
            <family val="2"/>
            <charset val="161"/>
          </rPr>
          <t xml:space="preserve">Georgilas K. :
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Καταβαλλόμενες Αποδοχές
</t>
        </r>
        <r>
          <rPr>
            <sz val="9"/>
            <color rgb="FF000000"/>
            <rFont val="Tahoma"/>
            <family val="2"/>
            <charset val="161"/>
          </rPr>
          <t xml:space="preserve">+ Επίδομα Βάρδιας
</t>
        </r>
        <r>
          <rPr>
            <sz val="9"/>
            <color rgb="FF000000"/>
            <rFont val="Tahoma"/>
            <family val="2"/>
            <charset val="161"/>
          </rPr>
          <t xml:space="preserve">+ Επίδομα Αυξημένων Οικογενειακών Βαρών
</t>
        </r>
        <r>
          <rPr>
            <sz val="9"/>
            <color rgb="FF000000"/>
            <rFont val="Tahoma"/>
            <family val="2"/>
            <charset val="161"/>
          </rPr>
          <t xml:space="preserve"> / 162,50</t>
        </r>
      </text>
    </comment>
    <comment ref="E195" authorId="2" shapeId="0" xr:uid="{90C26113-439A-8E44-B0B8-6A6DAAB9EBE1}">
      <text>
        <r>
          <rPr>
            <b/>
            <sz val="10"/>
            <color rgb="FF000000"/>
            <rFont val="Tahoma"/>
            <family val="2"/>
            <charset val="161"/>
          </rPr>
          <t>Georgilas K.: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 xml:space="preserve">αλλος τυπος ειναι ο εξης :
</t>
        </r>
        <r>
          <rPr>
            <sz val="10"/>
            <color rgb="FF000000"/>
            <rFont val="Tahoma"/>
            <family val="2"/>
            <charset val="161"/>
          </rPr>
          <t xml:space="preserve"> 
</t>
        </r>
        <r>
          <rPr>
            <sz val="10"/>
            <color rgb="FF000000"/>
            <rFont val="Tahoma"/>
            <family val="2"/>
            <charset val="161"/>
          </rPr>
          <t xml:space="preserve">Δωρο Πασχα * 0,395 
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>(λογω 39,5% επιδοματος βαρδιών)</t>
        </r>
      </text>
    </comment>
    <comment ref="E215" authorId="2" shapeId="0" xr:uid="{A37E665E-A217-E54B-A851-C3E73A06E6CB}">
      <text>
        <r>
          <rPr>
            <b/>
            <sz val="10"/>
            <color rgb="FF000000"/>
            <rFont val="Tahoma"/>
            <family val="2"/>
            <charset val="161"/>
          </rPr>
          <t>Georgilas K.: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Aptos Narrow"/>
            <scheme val="minor"/>
          </rPr>
          <t>αλλος τυπος ειναι ο εξης :</t>
        </r>
        <r>
          <rPr>
            <sz val="4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4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Επιδομα Αδειας * 0,395 </t>
        </r>
        <r>
          <rPr>
            <sz val="4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>(λογω 39,5% επιδοματος βαρδιών)</t>
        </r>
      </text>
    </comment>
  </commentList>
</comments>
</file>

<file path=xl/sharedStrings.xml><?xml version="1.0" encoding="utf-8"?>
<sst xmlns="http://schemas.openxmlformats.org/spreadsheetml/2006/main" count="273" uniqueCount="172">
  <si>
    <t>ΚΛΙΜΑΚΙΑ</t>
  </si>
  <si>
    <t>Α</t>
  </si>
  <si>
    <t>Β</t>
  </si>
  <si>
    <t>Γ</t>
  </si>
  <si>
    <t>Δ</t>
  </si>
  <si>
    <t xml:space="preserve">ΜΙΣΘΟΛΟΓΙΚΟ ΚΛΙΜΑΚΙΟ		</t>
  </si>
  <si>
    <t>ΧΡΟΝΟΕΠΙΔΟΜΑ</t>
  </si>
  <si>
    <t>ΒΑΣΙΚΟΣ ΜΙΣΘΟΣ</t>
  </si>
  <si>
    <t>AΝΘΥΓΙΕΙΝΟ ΕΠΙΔΟΜA</t>
  </si>
  <si>
    <t>ΕΠΙΔΟΜΑ ΠΟΛΥΕΤΙΑΣ (ANA 5ETIA, πχ 5-10-15)</t>
  </si>
  <si>
    <t>ΠΡΟΣΑΥΞΗΣΕΙΣ ΜΙΣΘΟΥ</t>
  </si>
  <si>
    <t>ΚΑΤΑΒΑΛΟΜΕΝΕΣ ΑΠΟΔΟΧΕΣ</t>
  </si>
  <si>
    <t>ΥΠΟΛΟΓΙΣΜΟΣ ΑΠΟΔΟΧΩΝ</t>
  </si>
  <si>
    <t>ΕΠΙΔΟΜΑ ΒΑΡΔΙΑΣ ΑΠΟ ΚΑΝ. ΑΠΑΣΧ.(0201)</t>
  </si>
  <si>
    <t>ΩΡΕΣ</t>
  </si>
  <si>
    <t>ΗΜΕΡΗΣΙΑ ΑΠΟΖΗΜΙΩΣΗ ΤΡΟΦΗΣ ΚΑ (3009)</t>
  </si>
  <si>
    <t>ΠΡΟΣΑΥΞΗΣΕΙΣ ΒΑΡΔΙΑΣ (0412-0417). (39,5 %)</t>
  </si>
  <si>
    <t>ΕΦΚΑ ΙΚΑ ΤΕΑΜ ΒΑΡΕΑ + ΕΚ (106)</t>
  </si>
  <si>
    <t>ΦΟΡΟΛΟΓΙΚΗ ΚΛΙΜΑΚΑ 2026</t>
  </si>
  <si>
    <t>0-10.000</t>
  </si>
  <si>
    <t>10.001-20.000</t>
  </si>
  <si>
    <t>20.001-30.000</t>
  </si>
  <si>
    <t>30.001-40.000</t>
  </si>
  <si>
    <t>40.001-60.000</t>
  </si>
  <si>
    <t>60.001 +</t>
  </si>
  <si>
    <t>%</t>
  </si>
  <si>
    <t>ΕΩΣ 25 ΕΤΩΝ</t>
  </si>
  <si>
    <t>26-30 ΕΤΩΝ</t>
  </si>
  <si>
    <t>ΦΟΡΟΣ</t>
  </si>
  <si>
    <t>Π.Σ.Ε.Ε.Π.</t>
  </si>
  <si>
    <t>ΤΑΜΕΙΟ ΑΛΛΗΛΕΓΓΥΗΣ - ΑΠΕΡΓΙΑΚΟ ΤΑΜΕΙΟ (ΤΑΑΤ)</t>
  </si>
  <si>
    <t>ΙΑΤΡΟΦ.ΕΡΓΑΖ.ME ΜΕΛΟΣ ΑΝΗΛΙΚΟ (15,8 euro)</t>
  </si>
  <si>
    <t>ΙΑΤΡΟΦ.ΕΡΓΑΖ.ME ΜΕΛΟΣ ΕΝΗΛΙΚΟ (18,6 euro)</t>
  </si>
  <si>
    <t>ΩΡΟΜΙΣΘΙΟ</t>
  </si>
  <si>
    <t>ΗΜΕΡΟΜΙΣΘΙΟ</t>
  </si>
  <si>
    <t>ΕΡΓΑΣΙΑ ΜΗΝΟΣ-Μ (0001)</t>
  </si>
  <si>
    <t>ΑΠΟΔΟΧΕΣ ΚΑΝΟΝΙΚΗΣ ΑΔΕΙΑΣ (3001)</t>
  </si>
  <si>
    <t>ΔΙΚΑΙΟΛ. ΑΠΟΥΣ. ΜΕ ΑΠΟΔΟΧΕΣ</t>
  </si>
  <si>
    <t>ΜΙΚΤΑ</t>
  </si>
  <si>
    <t>**41**ΥΠΕΡΕΡΓΑΣΙΑ 20% (1102)</t>
  </si>
  <si>
    <t>**43**ΠΡΟΣ.ΥΠΕΡΕΡΓΑΣΙΑΣ ΝΥΚΤΑΣ 20% (1180)</t>
  </si>
  <si>
    <t>**45**ΠΡΟΣ.ΥΠΕΡΕΡΓΑΣΙΑΣ ΚΥΡΙΑΚΗΣ 20% (1185)</t>
  </si>
  <si>
    <t>ΠΡΟΣ.ΥΠΕΡΩΡΙΑΣ ΝΥΧΤΑΣ (1280)</t>
  </si>
  <si>
    <t>ΠΡΟΣ.ΥΠΕΡΩΡΙΑΣ ΚΥΡΙΑΚΗΣ</t>
  </si>
  <si>
    <t>ΠΡΟΣΑΥΞ. ΚΥΡΙΑΚΗΣ</t>
  </si>
  <si>
    <t>NAI</t>
  </si>
  <si>
    <t>OXI</t>
  </si>
  <si>
    <t>ΕΠΙΔΟΜΑ ΓΑΜΟΥ</t>
  </si>
  <si>
    <t>Ποσοστό Ασφαλισμένου (Εργαζόμενου): 16,82%</t>
  </si>
  <si>
    <t>ΚΡΑΤΗΣΗ ΔΑΝΕΙΟΥ</t>
  </si>
  <si>
    <t>EKO-KARTA</t>
  </si>
  <si>
    <t>ΥΠΟΛΟΓΙΣΜΟΣ ΦΟΡΟΥ</t>
  </si>
  <si>
    <t>Συντελεστής Φορολόγησης</t>
  </si>
  <si>
    <t>0 ΠΑΙΔΙA</t>
  </si>
  <si>
    <t>1 ΠΑΙΔΙ</t>
  </si>
  <si>
    <t>2 ΠΑΙΔΙΑ</t>
  </si>
  <si>
    <t>3 ΠΑΙΔΙΑ</t>
  </si>
  <si>
    <t>4+ ΠΑΙΔΙΑ</t>
  </si>
  <si>
    <t>0 -  10.000</t>
  </si>
  <si>
    <t>10.001 - 20.000</t>
  </si>
  <si>
    <t xml:space="preserve"> 20.001 - 30.000</t>
  </si>
  <si>
    <t xml:space="preserve">30.001 - 40.000 </t>
  </si>
  <si>
    <t xml:space="preserve">40.001 - 60.000 </t>
  </si>
  <si>
    <t>60.001 και άνω</t>
  </si>
  <si>
    <t>Φορολογητέες Αποδοχές €    2026</t>
  </si>
  <si>
    <t>ΕΠΙΔ.ΟΙΚ.ΒΑΡΩΝ ΑΠΟ ΚΑΝ.ΑΠΑΣΧ.</t>
  </si>
  <si>
    <t>}</t>
  </si>
  <si>
    <t>= MIKTA - ΕΦΚΑ</t>
  </si>
  <si>
    <r>
      <t xml:space="preserve">ΑΝΑΓΩΓΗ ΜΗΝΙΑΙΟΥ ΦΟΡΟΛΟΓ. ΕΙΣΟΔΗΜΑΤΟΣ ΣΤΟ ΕΤΟΣ  </t>
    </r>
    <r>
      <rPr>
        <b/>
        <sz val="12"/>
        <color rgb="FFFF0000"/>
        <rFont val="Aptos Narrow"/>
        <family val="2"/>
        <scheme val="minor"/>
      </rPr>
      <t xml:space="preserve"> (x17)</t>
    </r>
  </si>
  <si>
    <t>κρατησεις / ετος</t>
  </si>
  <si>
    <t>ΕΤΗΣΙΟΣ ΦΟΡΟΣ</t>
  </si>
  <si>
    <r>
      <t>ΜΗΝΙΑΙΟΣ ΦΟΡΟΣ ME ΑΝΑΓΩΓΗ</t>
    </r>
    <r>
      <rPr>
        <b/>
        <sz val="12"/>
        <color rgb="FFFF0000"/>
        <rFont val="Aptos Narrow"/>
        <family val="2"/>
        <scheme val="minor"/>
      </rPr>
      <t xml:space="preserve"> (/17)</t>
    </r>
  </si>
  <si>
    <t>ΦΟΡΟΛΟΓΗΤΕΟ ΜΗΝΙΑΙΟ ΕΙΣΟΔΗΜΑ</t>
  </si>
  <si>
    <t>ΣΥΝΟΛΟ ΜΗΝΙΑΙΩΝ ΚΡΑΤΗΣΕΩΝ</t>
  </si>
  <si>
    <t>ΣΥΝΟΛΟ ΜΗΝΙΑΙΩΝ ΜΙΚΤΩΝ ΑΠΟΔΟΧΩΝ</t>
  </si>
  <si>
    <t>ΠΡΟΚΑΤΑΒΟΛΗ ΕΠΟΜΕΝΟΥ ΜΗΝΑ</t>
  </si>
  <si>
    <t>ΠΛΗΡΩΤΕΟ ΠΟΣΟ ΜΗΝΑ</t>
  </si>
  <si>
    <t>ΩΡΟΜΙΣΘΙΟ ΥΠΕΡΩΡΙΑΣ</t>
  </si>
  <si>
    <t>ετη εργασιας , μειον την τριετια 2012-2014</t>
  </si>
  <si>
    <t>11,36% επι του 8ου κλιμακίου για βαρδια Πρ-Απογ-Νυχ.</t>
  </si>
  <si>
    <t xml:space="preserve">Καταβαλλόμενες Αποδοχές  / 162,50 </t>
  </si>
  <si>
    <t>ΕΡΓΑΖΟΜΕΝΟΣ  30+ ΕΤΩΝ</t>
  </si>
  <si>
    <t>ΠΡΕΠΕΙ ΑΡΘΡΟΙΣΜΑ = 162,50 ΩΡΕΣ</t>
  </si>
  <si>
    <r>
      <t xml:space="preserve">Ωρομίσθιο </t>
    </r>
    <r>
      <rPr>
        <b/>
        <sz val="12"/>
        <color theme="1"/>
        <rFont val="Aptos Narrow"/>
        <family val="2"/>
        <scheme val="minor"/>
      </rPr>
      <t xml:space="preserve">x </t>
    </r>
    <r>
      <rPr>
        <sz val="12"/>
        <color theme="1"/>
        <rFont val="Aptos Narrow"/>
        <family val="2"/>
        <charset val="161"/>
        <scheme val="minor"/>
      </rPr>
      <t xml:space="preserve"> 6,50  Ώρες Εργασίας Ημερησίως</t>
    </r>
  </si>
  <si>
    <t>ΠΡΟΣΑΥΞΗΣΗ ΥΠΕΡΕΡΓΑΣΙΑΣ ΕΠΙΣΗΜΗΣ ΑΡΓΙΑΣ</t>
  </si>
  <si>
    <t>ΠΡΟΣΑΥΞΗΣΗ ΥΠΕΡΕΡΓΑΣΙΑΣ ΚΑΤ' ΕΘΙΜΟ</t>
  </si>
  <si>
    <r>
      <t>Ωρομισθιο Υπερωριων</t>
    </r>
    <r>
      <rPr>
        <b/>
        <sz val="12"/>
        <color theme="1"/>
        <rFont val="Aptos Narrow"/>
        <family val="2"/>
        <scheme val="minor"/>
      </rPr>
      <t xml:space="preserve"> 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120%</t>
    </r>
  </si>
  <si>
    <r>
      <t>Ωρομισθιο Υπερωριων</t>
    </r>
    <r>
      <rPr>
        <b/>
        <sz val="12"/>
        <color theme="1"/>
        <rFont val="Aptos Narrow"/>
        <family val="2"/>
        <scheme val="minor"/>
      </rPr>
      <t xml:space="preserve"> x</t>
    </r>
    <r>
      <rPr>
        <sz val="12"/>
        <color theme="1"/>
        <rFont val="Aptos Narrow"/>
        <family val="2"/>
        <charset val="161"/>
        <scheme val="minor"/>
      </rPr>
      <t xml:space="preserve"> Ωρες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120%</t>
    </r>
  </si>
  <si>
    <t>ΠΡΟΣΑΥΞΗΣΗ ΥΠΕΡΕΡΓΑΣΙΑΣ ΕΤΑΙΡΙΚΗΣ ΑΡΓΙΑΣ</t>
  </si>
  <si>
    <r>
      <rPr>
        <i/>
        <sz val="12"/>
        <rFont val="Aptos Narrow"/>
        <family val="2"/>
        <scheme val="minor"/>
      </rPr>
      <t>(επιπλεον στην Υπερεργασια)</t>
    </r>
    <r>
      <rPr>
        <sz val="12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Ωρες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120%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175%</t>
    </r>
  </si>
  <si>
    <r>
      <rPr>
        <i/>
        <sz val="12"/>
        <rFont val="Aptos Narrow"/>
        <family val="2"/>
        <scheme val="minor"/>
      </rPr>
      <t xml:space="preserve">(επιπλεον στην Υπερεργασια) </t>
    </r>
    <r>
      <rPr>
        <sz val="12"/>
        <rFont val="Aptos Narrow"/>
        <family val="2"/>
        <charset val="161"/>
        <scheme val="minor"/>
      </rPr>
      <t xml:space="preserve">Ωρομισθιο Υπερωριων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Ωρες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120%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100%</t>
    </r>
  </si>
  <si>
    <r>
      <rPr>
        <i/>
        <sz val="12"/>
        <rFont val="Aptos Narrow"/>
        <family val="2"/>
        <scheme val="minor"/>
      </rPr>
      <t xml:space="preserve">(επιπλεον στην Υπερεργασια) </t>
    </r>
    <r>
      <rPr>
        <sz val="12"/>
        <rFont val="Aptos Narrow"/>
        <family val="2"/>
        <charset val="161"/>
        <scheme val="minor"/>
      </rPr>
      <t xml:space="preserve">Ωρομισθιο Υπερωριων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Ωρες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120%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75%</t>
    </r>
  </si>
  <si>
    <r>
      <t xml:space="preserve">ΠΡΟΣ.ΥΠΕΡΩΡΙΑΣ ΝΥΚΤΑΣ </t>
    </r>
    <r>
      <rPr>
        <b/>
        <sz val="12"/>
        <color theme="1"/>
        <rFont val="Aptos Narrow"/>
        <family val="2"/>
        <scheme val="minor"/>
      </rPr>
      <t>Χ.A</t>
    </r>
    <r>
      <rPr>
        <sz val="12"/>
        <color theme="1"/>
        <rFont val="Aptos Narrow"/>
        <family val="2"/>
        <charset val="161"/>
        <scheme val="minor"/>
      </rPr>
      <t>. 120% (80% εως 19/06/21)</t>
    </r>
  </si>
  <si>
    <r>
      <t>**51**ΥΠΕΡΩΡΙΑ</t>
    </r>
    <r>
      <rPr>
        <b/>
        <sz val="12"/>
        <color theme="1"/>
        <rFont val="Aptos Narrow"/>
        <family val="2"/>
        <scheme val="minor"/>
      </rPr>
      <t xml:space="preserve"> Χ.Α.</t>
    </r>
    <r>
      <rPr>
        <sz val="12"/>
        <color theme="1"/>
        <rFont val="Aptos Narrow"/>
        <family val="2"/>
        <charset val="161"/>
        <scheme val="minor"/>
      </rPr>
      <t xml:space="preserve"> 120% (1230)/(80% έως 19/06/21)</t>
    </r>
  </si>
  <si>
    <r>
      <t xml:space="preserve">ΥΠΕΡΩΡΙΑ </t>
    </r>
    <r>
      <rPr>
        <b/>
        <sz val="12"/>
        <color theme="1"/>
        <rFont val="Aptos Narrow"/>
        <family val="2"/>
        <scheme val="minor"/>
      </rPr>
      <t xml:space="preserve">Μ.Α. </t>
    </r>
    <r>
      <rPr>
        <sz val="12"/>
        <color theme="1"/>
        <rFont val="Aptos Narrow"/>
        <family val="2"/>
        <charset val="161"/>
        <scheme val="minor"/>
      </rPr>
      <t>1,4 1-150 (1201) / (1-48 εως 19/06/</t>
    </r>
  </si>
  <si>
    <r>
      <t>ΠΡΟΣΑΥΞΗΣΗ ΥΠΕΡΩΡΙAΣ ΕΠΙΣΗΜΗΣ ΑΡΓΙΑΣ</t>
    </r>
    <r>
      <rPr>
        <b/>
        <sz val="12"/>
        <color theme="1"/>
        <rFont val="Aptos Narrow"/>
        <family val="2"/>
        <scheme val="minor"/>
      </rPr>
      <t xml:space="preserve"> X. A</t>
    </r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</si>
  <si>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180%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175%</t>
    </r>
  </si>
  <si>
    <r>
      <t xml:space="preserve">ΠΡΟΣΑΥΞΗΣΗ ΥΠΕΡΩΡΙAΣ ΚΑΤ' ΕΘΙΜΟ ΑΡΓΙΑΣ </t>
    </r>
    <r>
      <rPr>
        <b/>
        <sz val="12"/>
        <color theme="1"/>
        <rFont val="Aptos Narrow"/>
        <family val="2"/>
        <scheme val="minor"/>
      </rPr>
      <t>X. A.</t>
    </r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</si>
  <si>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180%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100%</t>
    </r>
  </si>
  <si>
    <t>ΠΡΟΣΑΥΞΗΣΗ ΥΠΕΡΩΡΙAΣ ΕΤΑΙΡΙΚΗΣ ΑΡΓΙΑΣ</t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</si>
  <si>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180%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75%</t>
    </r>
  </si>
  <si>
    <r>
      <t xml:space="preserve">Ωρομισθιο </t>
    </r>
    <r>
      <rPr>
        <b/>
        <sz val="12"/>
        <color theme="1"/>
        <rFont val="Aptos Narrow"/>
        <family val="2"/>
        <scheme val="minor"/>
      </rPr>
      <t xml:space="preserve"> 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scheme val="minor"/>
      </rPr>
      <t>75</t>
    </r>
    <r>
      <rPr>
        <sz val="12"/>
        <color theme="1"/>
        <rFont val="Aptos Narrow"/>
        <family val="2"/>
        <charset val="161"/>
        <scheme val="minor"/>
      </rPr>
      <t>%</t>
    </r>
  </si>
  <si>
    <r>
      <t>ΠΡΟΣΑΥΞΗΣΗ ΥΠΕΡΩΡΙAΣ ΚΥΡΙΑΚΗΣ</t>
    </r>
    <r>
      <rPr>
        <b/>
        <sz val="12"/>
        <color theme="1"/>
        <rFont val="Aptos Narrow"/>
        <family val="2"/>
        <scheme val="minor"/>
      </rPr>
      <t xml:space="preserve"> X. A</t>
    </r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</si>
  <si>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140%</t>
    </r>
    <r>
      <rPr>
        <b/>
        <sz val="12"/>
        <color theme="1"/>
        <rFont val="Aptos Narrow"/>
        <family val="2"/>
        <scheme val="minor"/>
      </rPr>
      <t xml:space="preserve"> x 25</t>
    </r>
    <r>
      <rPr>
        <sz val="12"/>
        <color theme="1"/>
        <rFont val="Aptos Narrow"/>
        <family val="2"/>
        <charset val="161"/>
        <scheme val="minor"/>
      </rPr>
      <t>%</t>
    </r>
  </si>
  <si>
    <t>Drop Down Menus</t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</si>
  <si>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180%</t>
    </r>
    <r>
      <rPr>
        <b/>
        <sz val="12"/>
        <color theme="1"/>
        <rFont val="Aptos Narrow"/>
        <family val="2"/>
        <scheme val="minor"/>
      </rPr>
      <t xml:space="preserve"> x 25</t>
    </r>
    <r>
      <rPr>
        <sz val="12"/>
        <color theme="1"/>
        <rFont val="Aptos Narrow"/>
        <family val="2"/>
        <charset val="161"/>
        <scheme val="minor"/>
      </rPr>
      <t>%</t>
    </r>
  </si>
  <si>
    <r>
      <rPr>
        <i/>
        <sz val="12"/>
        <rFont val="Aptos Narrow"/>
        <family val="2"/>
        <scheme val="minor"/>
      </rPr>
      <t xml:space="preserve">(επιπλεον στην Υπερεργασια) </t>
    </r>
    <r>
      <rPr>
        <sz val="12"/>
        <rFont val="Aptos Narrow"/>
        <family val="2"/>
        <charset val="161"/>
        <scheme val="minor"/>
      </rPr>
      <t xml:space="preserve">Ωρομισθιο Υπερωριων </t>
    </r>
    <r>
      <rPr>
        <b/>
        <sz val="12"/>
        <rFont val="Aptos Narrow"/>
        <family val="2"/>
        <scheme val="minor"/>
      </rPr>
      <t xml:space="preserve">x </t>
    </r>
    <r>
      <rPr>
        <sz val="12"/>
        <rFont val="Aptos Narrow"/>
        <family val="2"/>
        <charset val="161"/>
        <scheme val="minor"/>
      </rPr>
      <t xml:space="preserve">Ωρες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120% </t>
    </r>
    <r>
      <rPr>
        <b/>
        <sz val="12"/>
        <rFont val="Aptos Narrow"/>
        <family val="2"/>
        <scheme val="minor"/>
      </rPr>
      <t xml:space="preserve">x </t>
    </r>
    <r>
      <rPr>
        <sz val="12"/>
        <rFont val="Aptos Narrow"/>
        <family val="2"/>
        <charset val="161"/>
        <scheme val="minor"/>
      </rPr>
      <t>25%</t>
    </r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</si>
  <si>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140%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75%</t>
    </r>
  </si>
  <si>
    <r>
      <t>Ωρομισθιο Υπερωριων</t>
    </r>
    <r>
      <rPr>
        <b/>
        <sz val="12"/>
        <color theme="1"/>
        <rFont val="Aptos Narrow"/>
        <family val="2"/>
        <scheme val="minor"/>
      </rPr>
      <t xml:space="preserve"> 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scheme val="minor"/>
      </rPr>
      <t>140</t>
    </r>
    <r>
      <rPr>
        <sz val="12"/>
        <color theme="1"/>
        <rFont val="Aptos Narrow"/>
        <family val="2"/>
        <charset val="161"/>
        <scheme val="minor"/>
      </rPr>
      <t>%</t>
    </r>
  </si>
  <si>
    <t>ΠΡΟΣΑΥΞΗΣΗ ΥΠΕΡΩΡΙAΣ ΕΠΙΣΗΜΗΣ ΑΡΓΙΑΣ</t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</si>
  <si>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140%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175%</t>
    </r>
  </si>
  <si>
    <t>ΠΡΟΣΑΥΞΗΣΗ ΥΠΕΡΩΡΙAΣ ΚΑΤ' ΕΘΙΜΟ ΑΡΓΙΑΣ</t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</si>
  <si>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140%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100%</t>
    </r>
  </si>
  <si>
    <r>
      <t xml:space="preserve">ΠΡΟΣΑΥΞΗΣΗ ΥΠΕΡΩΡΙAΣ ΕΤΑΙΡΙΚΗΣ ΑΡΓΙΑΣ </t>
    </r>
    <r>
      <rPr>
        <b/>
        <sz val="12"/>
        <color theme="1"/>
        <rFont val="Aptos Narrow"/>
        <family val="2"/>
        <scheme val="minor"/>
      </rPr>
      <t xml:space="preserve"> X. A</t>
    </r>
  </si>
  <si>
    <t>ΠΡΟΣΑΥΞΗΣΗ ΝΥΧΤΑΣ</t>
  </si>
  <si>
    <r>
      <t xml:space="preserve">Ωρομισθιο </t>
    </r>
    <r>
      <rPr>
        <b/>
        <sz val="12"/>
        <color theme="1"/>
        <rFont val="Aptos Narrow"/>
        <family val="2"/>
        <scheme val="minor"/>
      </rPr>
      <t xml:space="preserve"> 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</t>
    </r>
    <r>
      <rPr>
        <sz val="12"/>
        <color theme="1"/>
        <rFont val="Aptos Narrow"/>
        <family val="2"/>
        <scheme val="minor"/>
      </rPr>
      <t xml:space="preserve"> 25</t>
    </r>
    <r>
      <rPr>
        <sz val="12"/>
        <color theme="1"/>
        <rFont val="Aptos Narrow"/>
        <family val="2"/>
        <charset val="161"/>
        <scheme val="minor"/>
      </rPr>
      <t>%</t>
    </r>
  </si>
  <si>
    <t>Ο ΜΗΝΙΑΙΟΣ ΦΟΡΟΣ είναι με αναγωγή στο ΣΥΝΟΛΟ 17 μισθών, μετά την αφαίρεση ΑΣΦΑΛΙΣΤΙΚΩΝ ΕΙΣΦΟΡΩΝ</t>
  </si>
  <si>
    <t xml:space="preserve"> (1-2 παιδιά x 29,35e //  3ο 32,39e //  4+ x 64,6e)</t>
  </si>
  <si>
    <t>ΠΡΟΣΑΥΞΗΣΕΙΣ ΔΩΡΟΥ ΠΑΣΧΑ ΒΑΡΔΙΑΣ</t>
  </si>
  <si>
    <t>ΔΩΡΟ ΠΑΣΧΑ</t>
  </si>
  <si>
    <t>ΗΜΕΡΟΜΙΣΘΙΑ ΥΠΟΛΟΓΙΣΜΟΥ ΠΑΣΧΑ (12,50)</t>
  </si>
  <si>
    <t>ΕΠΙΔΟΜΑ ΑΥΞ. ΟΙΚΟΓ/ΚΩΝ ΒΑΡΩΝ ΔΩΡΩΝ</t>
  </si>
  <si>
    <t>ΗΜΕΡΟΜΙΣΘΙΑ ΥΠΟΛΟΓΙΣΜΟΥ ΕΠΙΔΟΜΑΤΟΣ ΑΔΕΙΑΣ (15,50)</t>
  </si>
  <si>
    <t>ΕΠΙΔΟΜΑ ΑΔΕΙΑΣ</t>
  </si>
  <si>
    <t>ΠΡΟΣΑΥΞΗΣΕΙΣ Ε. Α. ΒΑΡΔΙΑΣ</t>
  </si>
  <si>
    <t>ΗΜΕΡΗΣΙΑ ΑΠΟΖΗΜΙΩΣΗ ΤΡΟΦΗΣ Ε. Α.</t>
  </si>
  <si>
    <t>ΗΜΕΡΗΣΙΑ ΑΠΟΖΗΜΙΩΣΗ ΤΡΟΦΗΣ Δ. Π</t>
  </si>
  <si>
    <t>ΕΠΙΔΟΜΑ ΒΑΡΔΙΑΣ Ε. Α.</t>
  </si>
  <si>
    <t>ΕΠΙΔΟΜΑ ΑΥΞ. ΟΙΚΟΓ/ΚΩΝ ΒΑΡΩΝ Ε. Α.</t>
  </si>
  <si>
    <t>ΔΩΡΟ ΧΡΙΣΤΟΥΓΕΝΝΩΝ</t>
  </si>
  <si>
    <t>ΠΡΟΣΑΥΞΗΣΕΙΣ ΔΩΡΟΥ ΧΡΙΣΤΟΥΓΕΝΝΩΝ</t>
  </si>
  <si>
    <t>ΠΡΟΣΑΥΞΗΣΕΙΣ ΔΩΡΟΥ ΧΡΙΣΤΟΥΓΕΝΝΩΝ ΒΑΡΔΙΑΣ</t>
  </si>
  <si>
    <t>ΗΜΕΡΗΣΙΑ ΑΠΟΖΗΜΙΩΣΗ ΤΡΟΦΗΣ Δ. Χ.</t>
  </si>
  <si>
    <t>ΗΜΕΡΗΣΙΑ ΑΠΟΖΗΜΙΩΣΗ ΤΡΟΦΗΣ</t>
  </si>
  <si>
    <t>???</t>
  </si>
  <si>
    <t>ΠΡΟΣΑΥΞΗΣΗ ΔΙΑΤΑΚΤΙΚΗΣ Δ. Π.</t>
  </si>
  <si>
    <t>ΠΡΟΣΑΥΞΗΣΗ ΔΩΡΟΥ ΠΑΣΧΑ ΑΠΌ Ε.Α. (ΔΩΡ. + ΕΠ.ΒΑΡΔ.)</t>
  </si>
  <si>
    <t>ΠΡΟΣΑΥΞΗΣΗ ΔΩΡΟΥ ΠΑΣΧΑ ΑΠΌ Ε.Α. Π</t>
  </si>
  <si>
    <t>ΠΡΟΣΑΥΞΗΣΗ ΔΩΡΟΥ ΠΑΣΧΑ ΑΠΌ Ε.Α.</t>
  </si>
  <si>
    <t>ΠΡΟΣΑΥΞΗΣΗ ΔΙΑΤΑΚΤΙΚΗΣ ΔΩΡΩΝ</t>
  </si>
  <si>
    <t>ΠΡΟΣΑΥΞΗΣΗ Δ. Χ. ΑΠΌ Ε.Α. (ΔΩΡ. + ΕΠ.ΒΑΡΔ.)</t>
  </si>
  <si>
    <t>ΠΡΟΣΑΥΞΗΣΗ Δ. Χ. ΑΠΌ Ε.Α. ΠΡΟΣΑΥΞΗΣΕΙΣ ΒΑΡΔΙΑΣ</t>
  </si>
  <si>
    <t xml:space="preserve">ΠΡΟΣΑΥΞΗΣΗ Δ. Χ. ΑΠΌ Ε.Α. </t>
  </si>
  <si>
    <t>ΠΟΣΟΣΤΟ ΠΡΟΣΑΥΞΗΣΕΩΝ Δ. Π.:</t>
  </si>
  <si>
    <t>ΠΟΣΟΣΤΟ ΠΡΟΣΑΥΞΗΣΕΩΝ ΕΠ. ΑΔ.:</t>
  </si>
  <si>
    <t>ΠΟΣΟΣΤΟ ΠΡΟΣΑΥΞΗΣΕΩΝ Δ. Χ.</t>
  </si>
  <si>
    <t>ΠΟΣΟΣΤΟ ΠΡΟΣΑΥΞΗΣΕΩΝ ΠΡΙΜ:</t>
  </si>
  <si>
    <t>ΠΡΟΣΑΥΞΗΣΕΙΣ Ε. Α</t>
  </si>
  <si>
    <t>ΣΥΝΤ/ΚΟ ΠΡΟΓΡΑΜΜΑ</t>
  </si>
  <si>
    <t>ΣΥΝΤ/ΚΟ ΠΡΟΓΡΑΜΜΑ   (ποσοστο %)</t>
  </si>
  <si>
    <r>
      <t>ΦΟΡΟΣ ΚΛΙΜΑΚΑΣ</t>
    </r>
    <r>
      <rPr>
        <b/>
        <sz val="12"/>
        <color rgb="FF00B050"/>
        <rFont val="Aptos Narrow"/>
        <family val="2"/>
        <scheme val="minor"/>
      </rPr>
      <t xml:space="preserve"> ΜΗΝΙΑΙΑΣ ΜΙΣΘΟΔΟΣΙΑΣ</t>
    </r>
  </si>
  <si>
    <r>
      <t xml:space="preserve">ΑΝΑΓΩΓΗ ΔΩΡΟΥ ΠΑΣΧΑ  ΣΤΟ ΕΤΟΣ  </t>
    </r>
    <r>
      <rPr>
        <b/>
        <sz val="12"/>
        <color rgb="FFFF0000"/>
        <rFont val="Aptos Narrow"/>
        <family val="2"/>
        <scheme val="minor"/>
      </rPr>
      <t xml:space="preserve"> (x17)</t>
    </r>
  </si>
  <si>
    <t>Οι δωροεπιταγες ΑΒ, ΔΕΝ υπολογιζονται γιατι γινεται προσθαφαιρεση του ιδιου ποσού</t>
  </si>
  <si>
    <r>
      <t>ΑΝΑΓΩΓΗ ΦΟΡΟΥ ΓΙΑ ΤΟ ΔΩΡΟ ΠΑΣΧΑ ΣΤΟ ΕΤΟΣ</t>
    </r>
    <r>
      <rPr>
        <b/>
        <sz val="12"/>
        <color rgb="FFFF0000"/>
        <rFont val="Aptos Narrow (Κυρίως κείμενο)"/>
        <charset val="161"/>
      </rPr>
      <t xml:space="preserve"> (x17)</t>
    </r>
  </si>
  <si>
    <r>
      <t xml:space="preserve">ΑΝΑΓΩΓΗ ΕΠΙΔΟΜΑΤΟΣ ΑΔΕΙΑΣ  ΣΤΟ ΕΤΟΣ  </t>
    </r>
    <r>
      <rPr>
        <b/>
        <sz val="12"/>
        <color rgb="FFFF0000"/>
        <rFont val="Aptos Narrow"/>
        <family val="2"/>
        <scheme val="minor"/>
      </rPr>
      <t xml:space="preserve"> (x17)</t>
    </r>
  </si>
  <si>
    <r>
      <t>ΦΟΡΟΣ ΚΛΙΜΑΚΑΣ</t>
    </r>
    <r>
      <rPr>
        <b/>
        <sz val="12"/>
        <color rgb="FF00B050"/>
        <rFont val="Aptos Narrow"/>
        <family val="2"/>
        <scheme val="minor"/>
      </rPr>
      <t xml:space="preserve"> ΕΠΙΔΟΜΑΤΟΣ ΑΔΕΙΑΣ </t>
    </r>
  </si>
  <si>
    <r>
      <t>ΑΝΑΓΩΓΗ ΦΟΡΟΥ ΓΙΑ ΤΟ ΕΠΙΔΟΜΑ ΑΔΕΙΑΣ  ΣΤΟ ΕΤΟΣ</t>
    </r>
    <r>
      <rPr>
        <b/>
        <sz val="12"/>
        <color rgb="FFFF0000"/>
        <rFont val="Aptos Narrow (Κυρίως κείμενο)"/>
        <charset val="161"/>
      </rPr>
      <t xml:space="preserve"> (x17)</t>
    </r>
  </si>
  <si>
    <r>
      <t>ΦΟΡΟΣ ΔΩΡΟΥ ΠΑΣΧΑ ME ΑΝΑΓΩΓΗ</t>
    </r>
    <r>
      <rPr>
        <b/>
        <sz val="12"/>
        <color rgb="FFFF0000"/>
        <rFont val="Aptos Narrow"/>
        <family val="2"/>
        <scheme val="minor"/>
      </rPr>
      <t xml:space="preserve"> (/17)</t>
    </r>
  </si>
  <si>
    <r>
      <t>ΦΟΡΟΣ ΕΠΙΔΟΜΑΤΟΣ ΑΔΕΙΑΣ ME ΑΝΑΓΩΓΗ</t>
    </r>
    <r>
      <rPr>
        <b/>
        <sz val="12"/>
        <color rgb="FFFF0000"/>
        <rFont val="Aptos Narrow"/>
        <family val="2"/>
        <scheme val="minor"/>
      </rPr>
      <t xml:space="preserve"> (/17)</t>
    </r>
  </si>
  <si>
    <r>
      <t xml:space="preserve">ΦΟΡΟΣ ΚΛΙΜΑΚΑΣ </t>
    </r>
    <r>
      <rPr>
        <b/>
        <sz val="12"/>
        <color rgb="FF00B050"/>
        <rFont val="Aptos Narrow (Κυρίως κείμενο)"/>
        <charset val="161"/>
      </rPr>
      <t>ΔΩΡΟΥ ΠΑΣΧΑ</t>
    </r>
  </si>
  <si>
    <r>
      <t xml:space="preserve">ΑΝΑΓΩΓΗ ΔΩΡΟΥ ΧΡΙΣΤΟΥΓΕΝΝΩΝ ΣΤΟ ΕΤΟΣ  </t>
    </r>
    <r>
      <rPr>
        <b/>
        <sz val="12"/>
        <color rgb="FFFF0000"/>
        <rFont val="Aptos Narrow"/>
        <family val="2"/>
        <scheme val="minor"/>
      </rPr>
      <t xml:space="preserve"> (x17)</t>
    </r>
  </si>
  <si>
    <r>
      <t>ΦΟΡΟΣ ΚΛΙΜΑΚΑΣ</t>
    </r>
    <r>
      <rPr>
        <b/>
        <sz val="12"/>
        <color rgb="FF00B050"/>
        <rFont val="Aptos Narrow"/>
        <family val="2"/>
        <scheme val="minor"/>
      </rPr>
      <t xml:space="preserve">  ΔΩΡΟΥ ΧΡΙΣΤΟΥΓΕΝΝΩΝ</t>
    </r>
  </si>
  <si>
    <r>
      <t>ΑΝΑΓΩΓΗ ΦΟΡΟΥ ΓΙΑ ΤΟ ΔΩΡΟ ΧΡΙΣΤΟΥΓΕΝΝΩΝ  ΣΤΟ ΕΤΟΣ</t>
    </r>
    <r>
      <rPr>
        <b/>
        <sz val="12"/>
        <color rgb="FFFF0000"/>
        <rFont val="Aptos Narrow (Κυρίως κείμενο)"/>
        <charset val="161"/>
      </rPr>
      <t xml:space="preserve"> (x17)</t>
    </r>
  </si>
  <si>
    <r>
      <t>ΦΟΡΟΣ  ΔΩΡΟΥ ΧΡΙΣΤΟΥΓΕΝΝΩΝ ME ΑΝΑΓΩΓΗ</t>
    </r>
    <r>
      <rPr>
        <b/>
        <sz val="12"/>
        <color rgb="FFFF0000"/>
        <rFont val="Aptos Narrow"/>
        <family val="2"/>
        <scheme val="minor"/>
      </rPr>
      <t xml:space="preserve"> (/17)</t>
    </r>
  </si>
  <si>
    <t xml:space="preserve">ΠΡΟΣΑΥΞΗΣΕΙΣ ΔΩΡΟΥ ΠΑΣΧΑ </t>
  </si>
  <si>
    <t>ΕΠΙΔΟΜΑ ΒΑΡΔΙΑΣ ΔΩΡΟΥ ΠΑΣΧΑ</t>
  </si>
  <si>
    <t>ΕΠΙΔΟΜΑ ΒΑΡΔΙΑΣ ΔΩΡΟΥ ΧΡΙΣΤΟΥΓΕΝΝΩΝ</t>
  </si>
  <si>
    <t>Καταβαλλόμενες Αποδοχές + Επίδ.Βάρδιας + Επίδ. Αυξημένων Οικογ. Βαρών / 162,5</t>
  </si>
  <si>
    <t>(δηλ. 162 Ώρες και 30 λεπτά της ώρας)</t>
  </si>
  <si>
    <r>
      <t xml:space="preserve">39 (Ώρες Εβδομαδιαίως)   /  6 (Ημέρες Εργασίας Εβδομαδιαίως)   * 25 (Ημέρες Εργασίας Μηνιαίως) 
 = </t>
    </r>
    <r>
      <rPr>
        <b/>
        <sz val="12"/>
        <color theme="1"/>
        <rFont val="Aptos Narrow"/>
        <scheme val="minor"/>
      </rPr>
      <t>162,50 Ώρες Μισθού</t>
    </r>
  </si>
  <si>
    <t>k.georgilas@gmail.com</t>
  </si>
  <si>
    <r>
      <t xml:space="preserve">Ωρες "ΑΠΟΔΟΧΕΣ ΚΑΝΟΝΙΚΗΣ ΑΔΕΙΑΣ", δια 6,66  Ώρες Εργασίας / Ημερα, επι </t>
    </r>
    <r>
      <rPr>
        <b/>
        <sz val="12"/>
        <color theme="1"/>
        <rFont val="Aptos Narrow"/>
        <scheme val="minor"/>
      </rPr>
      <t>5,40 €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</si>
</sst>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[$€-408]_-;\-* #,##0.00\ [$€-408]_-;_-* &quot;-&quot;??\ [$€-408]_-;_-@_-"/>
  </numFmts>
  <fonts count="42">
    <font>
      <sz val="12"/>
      <color theme="1"/>
      <name val="Aptos Narrow"/>
      <family val="2"/>
      <charset val="161"/>
      <scheme val="minor"/>
    </font>
    <font>
      <sz val="12"/>
      <color theme="1"/>
      <name val="Aptos Narrow"/>
      <family val="2"/>
      <charset val="161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sz val="10"/>
      <color rgb="FF000000"/>
      <name val="Tahoma"/>
      <family val="2"/>
      <charset val="161"/>
    </font>
    <font>
      <b/>
      <sz val="10"/>
      <color rgb="FF000000"/>
      <name val="Tahoma"/>
      <family val="2"/>
      <charset val="161"/>
    </font>
    <font>
      <b/>
      <sz val="24"/>
      <color theme="1"/>
      <name val="Aptos Narrow"/>
      <scheme val="minor"/>
    </font>
    <font>
      <sz val="12"/>
      <color theme="1"/>
      <name val="Aptos Narrow"/>
      <scheme val="minor"/>
    </font>
    <font>
      <sz val="9"/>
      <color rgb="FFFF0000"/>
      <name val="Tahoma"/>
      <family val="2"/>
    </font>
    <font>
      <sz val="12"/>
      <color rgb="FFFF0000"/>
      <name val="Tahoma"/>
      <family val="2"/>
    </font>
    <font>
      <sz val="10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9"/>
      <color indexed="81"/>
      <name val="Tahoma"/>
      <family val="2"/>
      <charset val="161"/>
    </font>
    <font>
      <b/>
      <sz val="14"/>
      <color theme="1"/>
      <name val="Aptos Narrow"/>
      <family val="2"/>
      <scheme val="minor"/>
    </font>
    <font>
      <sz val="36"/>
      <color theme="1"/>
      <name val="Sitka Small"/>
      <charset val="161"/>
    </font>
    <font>
      <sz val="12"/>
      <color theme="1"/>
      <name val="Aptos Narrow"/>
      <family val="2"/>
      <scheme val="minor"/>
    </font>
    <font>
      <b/>
      <sz val="9"/>
      <color indexed="81"/>
      <name val="Tahoma"/>
      <family val="2"/>
      <charset val="161"/>
    </font>
    <font>
      <b/>
      <sz val="18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2"/>
      <name val="Aptos Narrow"/>
      <family val="2"/>
      <charset val="161"/>
      <scheme val="minor"/>
    </font>
    <font>
      <b/>
      <sz val="12"/>
      <color rgb="FF0032A0"/>
      <name val="Aptos Narrow"/>
      <family val="2"/>
      <scheme val="minor"/>
    </font>
    <font>
      <sz val="12"/>
      <color rgb="FF0032A0"/>
      <name val="Aptos Narrow"/>
      <family val="2"/>
      <scheme val="minor"/>
    </font>
    <font>
      <b/>
      <sz val="12"/>
      <name val="Aptos Narrow"/>
      <family val="2"/>
      <scheme val="minor"/>
    </font>
    <font>
      <i/>
      <sz val="12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4"/>
      <color rgb="FF000000"/>
      <name val="-webkit-standard"/>
    </font>
    <font>
      <b/>
      <sz val="12"/>
      <color rgb="FFFF0000"/>
      <name val="Aptos Narrow (Κυρίως κείμενο)"/>
      <charset val="161"/>
    </font>
    <font>
      <b/>
      <sz val="12"/>
      <color rgb="FF00B050"/>
      <name val="Aptos Narrow (Κυρίως κείμενο)"/>
      <charset val="161"/>
    </font>
    <font>
      <sz val="12"/>
      <color rgb="FFFF0000"/>
      <name val="Aptos Narrow"/>
      <family val="2"/>
      <charset val="161"/>
      <scheme val="minor"/>
    </font>
    <font>
      <u/>
      <sz val="12"/>
      <color theme="10"/>
      <name val="Aptos Narrow"/>
      <family val="2"/>
      <charset val="161"/>
      <scheme val="minor"/>
    </font>
    <font>
      <sz val="12"/>
      <color rgb="FFFF0000"/>
      <name val="Aptos Narrow"/>
      <scheme val="minor"/>
    </font>
    <font>
      <sz val="4"/>
      <color rgb="FF000000"/>
      <name val="Aptos Narrow"/>
      <scheme val="minor"/>
    </font>
    <font>
      <b/>
      <sz val="10"/>
      <color rgb="FF000000"/>
      <name val="Aptos Narrow"/>
    </font>
    <font>
      <sz val="10"/>
      <color rgb="FF000000"/>
      <name val="Aptos Narrow"/>
    </font>
    <font>
      <sz val="10"/>
      <color rgb="FF000000"/>
      <name val="Tahoma"/>
      <family val="2"/>
    </font>
    <font>
      <b/>
      <u/>
      <sz val="12"/>
      <color rgb="FF0070C0"/>
      <name val="Aptos Narrow"/>
      <scheme val="minor"/>
    </font>
    <font>
      <b/>
      <sz val="9"/>
      <color rgb="FF000000"/>
      <name val="Tahoma"/>
      <family val="2"/>
      <charset val="161"/>
    </font>
    <font>
      <sz val="9"/>
      <color rgb="FF000000"/>
      <name val="Tahoma"/>
      <family val="2"/>
      <charset val="161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33" fillId="0" borderId="0" applyNumberFormat="0" applyFill="0" applyBorder="0" applyAlignment="0" applyProtection="0"/>
  </cellStyleXfs>
  <cellXfs count="12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wrapText="1"/>
    </xf>
    <xf numFmtId="0" fontId="8" fillId="0" borderId="0" xfId="0" applyFont="1" applyAlignment="1">
      <alignment horizontal="left" vertical="center" readingOrder="1"/>
    </xf>
    <xf numFmtId="0" fontId="0" fillId="0" borderId="6" xfId="0" applyBorder="1"/>
    <xf numFmtId="0" fontId="0" fillId="0" borderId="6" xfId="0" applyBorder="1" applyAlignment="1">
      <alignment horizontal="center"/>
    </xf>
    <xf numFmtId="165" fontId="0" fillId="0" borderId="6" xfId="1" applyNumberFormat="1" applyFont="1" applyBorder="1" applyAlignment="1">
      <alignment horizontal="right"/>
    </xf>
    <xf numFmtId="165" fontId="0" fillId="0" borderId="6" xfId="0" applyNumberFormat="1" applyBorder="1" applyAlignment="1">
      <alignment horizontal="right"/>
    </xf>
    <xf numFmtId="44" fontId="0" fillId="0" borderId="0" xfId="2" applyFont="1"/>
    <xf numFmtId="0" fontId="3" fillId="0" borderId="0" xfId="0" applyFont="1"/>
    <xf numFmtId="164" fontId="3" fillId="0" borderId="0" xfId="0" applyNumberFormat="1" applyFont="1"/>
    <xf numFmtId="0" fontId="3" fillId="2" borderId="0" xfId="0" applyFont="1" applyFill="1"/>
    <xf numFmtId="0" fontId="0" fillId="2" borderId="0" xfId="0" applyFill="1"/>
    <xf numFmtId="164" fontId="3" fillId="2" borderId="0" xfId="0" applyNumberFormat="1" applyFont="1" applyFill="1"/>
    <xf numFmtId="10" fontId="0" fillId="0" borderId="0" xfId="0" applyNumberFormat="1"/>
    <xf numFmtId="0" fontId="6" fillId="0" borderId="0" xfId="0" applyFont="1" applyAlignment="1">
      <alignment horizontal="center"/>
    </xf>
    <xf numFmtId="164" fontId="0" fillId="0" borderId="0" xfId="2" applyNumberFormat="1" applyFont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center"/>
    </xf>
    <xf numFmtId="10" fontId="0" fillId="3" borderId="0" xfId="0" applyNumberFormat="1" applyFill="1"/>
    <xf numFmtId="164" fontId="0" fillId="3" borderId="0" xfId="0" applyNumberFormat="1" applyFill="1"/>
    <xf numFmtId="0" fontId="12" fillId="0" borderId="0" xfId="0" applyFont="1"/>
    <xf numFmtId="0" fontId="0" fillId="6" borderId="0" xfId="0" applyFill="1"/>
    <xf numFmtId="0" fontId="11" fillId="6" borderId="0" xfId="0" applyFont="1" applyFill="1"/>
    <xf numFmtId="0" fontId="0" fillId="7" borderId="0" xfId="0" applyFill="1"/>
    <xf numFmtId="0" fontId="3" fillId="7" borderId="0" xfId="0" applyFont="1" applyFill="1"/>
    <xf numFmtId="164" fontId="3" fillId="7" borderId="0" xfId="0" applyNumberFormat="1" applyFont="1" applyFill="1"/>
    <xf numFmtId="164" fontId="11" fillId="6" borderId="0" xfId="0" applyNumberFormat="1" applyFont="1" applyFill="1"/>
    <xf numFmtId="0" fontId="16" fillId="0" borderId="0" xfId="0" applyFont="1" applyAlignment="1">
      <alignment horizontal="right"/>
    </xf>
    <xf numFmtId="0" fontId="11" fillId="2" borderId="0" xfId="0" applyFont="1" applyFill="1"/>
    <xf numFmtId="0" fontId="11" fillId="7" borderId="0" xfId="0" applyFont="1" applyFill="1"/>
    <xf numFmtId="164" fontId="11" fillId="7" borderId="0" xfId="0" applyNumberFormat="1" applyFont="1" applyFill="1"/>
    <xf numFmtId="44" fontId="0" fillId="3" borderId="0" xfId="0" applyNumberFormat="1" applyFill="1"/>
    <xf numFmtId="0" fontId="11" fillId="2" borderId="0" xfId="0" applyFont="1" applyFill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6" fillId="0" borderId="0" xfId="0" applyFont="1"/>
    <xf numFmtId="9" fontId="22" fillId="0" borderId="11" xfId="0" applyNumberFormat="1" applyFont="1" applyBorder="1" applyAlignment="1">
      <alignment horizontal="center" vertical="center"/>
    </xf>
    <xf numFmtId="164" fontId="16" fillId="0" borderId="0" xfId="0" applyNumberFormat="1" applyFont="1"/>
    <xf numFmtId="164" fontId="22" fillId="0" borderId="7" xfId="0" applyNumberFormat="1" applyFont="1" applyBorder="1" applyAlignment="1">
      <alignment horizontal="center" vertical="center"/>
    </xf>
    <xf numFmtId="164" fontId="16" fillId="0" borderId="12" xfId="0" applyNumberFormat="1" applyFont="1" applyBorder="1"/>
    <xf numFmtId="164" fontId="16" fillId="0" borderId="9" xfId="0" applyNumberFormat="1" applyFont="1" applyBorder="1"/>
    <xf numFmtId="164" fontId="16" fillId="0" borderId="4" xfId="0" applyNumberFormat="1" applyFont="1" applyBorder="1"/>
    <xf numFmtId="164" fontId="16" fillId="0" borderId="10" xfId="0" applyNumberFormat="1" applyFont="1" applyBorder="1"/>
    <xf numFmtId="164" fontId="16" fillId="0" borderId="15" xfId="0" applyNumberFormat="1" applyFont="1" applyBorder="1"/>
    <xf numFmtId="164" fontId="16" fillId="0" borderId="13" xfId="0" applyNumberFormat="1" applyFont="1" applyBorder="1"/>
    <xf numFmtId="164" fontId="16" fillId="0" borderId="1" xfId="0" applyNumberFormat="1" applyFont="1" applyBorder="1"/>
    <xf numFmtId="164" fontId="16" fillId="0" borderId="2" xfId="0" applyNumberFormat="1" applyFont="1" applyBorder="1"/>
    <xf numFmtId="164" fontId="16" fillId="0" borderId="3" xfId="0" applyNumberFormat="1" applyFont="1" applyBorder="1"/>
    <xf numFmtId="164" fontId="16" fillId="0" borderId="16" xfId="0" applyNumberFormat="1" applyFont="1" applyBorder="1"/>
    <xf numFmtId="164" fontId="16" fillId="0" borderId="5" xfId="0" applyNumberFormat="1" applyFont="1" applyBorder="1"/>
    <xf numFmtId="0" fontId="22" fillId="0" borderId="7" xfId="0" applyFont="1" applyBorder="1" applyAlignment="1">
      <alignment horizontal="center" vertical="center"/>
    </xf>
    <xf numFmtId="164" fontId="16" fillId="0" borderId="14" xfId="0" applyNumberFormat="1" applyFont="1" applyBorder="1"/>
    <xf numFmtId="164" fontId="16" fillId="0" borderId="7" xfId="0" applyNumberFormat="1" applyFont="1" applyBorder="1"/>
    <xf numFmtId="164" fontId="16" fillId="0" borderId="8" xfId="0" applyNumberFormat="1" applyFont="1" applyBorder="1"/>
    <xf numFmtId="164" fontId="16" fillId="0" borderId="11" xfId="0" applyNumberFormat="1" applyFont="1" applyBorder="1"/>
    <xf numFmtId="0" fontId="25" fillId="0" borderId="0" xfId="0" applyFont="1"/>
    <xf numFmtId="0" fontId="0" fillId="3" borderId="0" xfId="0" applyFill="1" applyAlignment="1">
      <alignment horizontal="right"/>
    </xf>
    <xf numFmtId="49" fontId="0" fillId="0" borderId="0" xfId="0" applyNumberFormat="1" applyAlignment="1">
      <alignment horizontal="left"/>
    </xf>
    <xf numFmtId="0" fontId="16" fillId="0" borderId="0" xfId="0" applyFont="1" applyAlignment="1">
      <alignment horizontal="center" vertical="center"/>
    </xf>
    <xf numFmtId="44" fontId="0" fillId="0" borderId="0" xfId="0" applyNumberFormat="1"/>
    <xf numFmtId="0" fontId="12" fillId="0" borderId="0" xfId="0" applyFont="1" applyAlignment="1">
      <alignment horizontal="center"/>
    </xf>
    <xf numFmtId="0" fontId="0" fillId="11" borderId="0" xfId="0" applyFill="1"/>
    <xf numFmtId="10" fontId="0" fillId="0" borderId="0" xfId="0" applyNumberFormat="1" applyAlignment="1">
      <alignment horizontal="right"/>
    </xf>
    <xf numFmtId="164" fontId="11" fillId="2" borderId="0" xfId="0" applyNumberFormat="1" applyFont="1" applyFill="1"/>
    <xf numFmtId="0" fontId="0" fillId="0" borderId="0" xfId="0" applyAlignment="1">
      <alignment wrapText="1"/>
    </xf>
    <xf numFmtId="0" fontId="16" fillId="0" borderId="0" xfId="0" applyFont="1" applyAlignment="1">
      <alignment horizontal="right" vertical="center"/>
    </xf>
    <xf numFmtId="0" fontId="29" fillId="0" borderId="0" xfId="0" applyFont="1"/>
    <xf numFmtId="164" fontId="3" fillId="6" borderId="0" xfId="0" applyNumberFormat="1" applyFont="1" applyFill="1"/>
    <xf numFmtId="0" fontId="3" fillId="6" borderId="0" xfId="0" applyFont="1" applyFill="1"/>
    <xf numFmtId="0" fontId="11" fillId="0" borderId="0" xfId="0" applyFont="1" applyAlignment="1">
      <alignment horizontal="left" vertical="center"/>
    </xf>
    <xf numFmtId="164" fontId="32" fillId="0" borderId="0" xfId="0" applyNumberFormat="1" applyFont="1"/>
    <xf numFmtId="164" fontId="34" fillId="0" borderId="0" xfId="0" applyNumberFormat="1" applyFont="1"/>
    <xf numFmtId="0" fontId="38" fillId="0" borderId="0" xfId="0" applyFont="1" applyAlignment="1">
      <alignment horizontal="left" vertical="center" readingOrder="1"/>
    </xf>
    <xf numFmtId="0" fontId="39" fillId="0" borderId="0" xfId="4" applyFont="1"/>
    <xf numFmtId="0" fontId="11" fillId="9" borderId="9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8" borderId="2" xfId="0" applyFont="1" applyFill="1" applyBorder="1" applyAlignment="1">
      <alignment horizontal="center"/>
    </xf>
    <xf numFmtId="0" fontId="19" fillId="8" borderId="3" xfId="0" applyFont="1" applyFill="1" applyBorder="1" applyAlignment="1">
      <alignment horizontal="center"/>
    </xf>
    <xf numFmtId="0" fontId="9" fillId="0" borderId="0" xfId="0" applyFont="1" applyAlignment="1">
      <alignment horizontal="center" vertical="center" textRotation="45" readingOrder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164" fontId="22" fillId="0" borderId="16" xfId="0" applyNumberFormat="1" applyFont="1" applyBorder="1" applyAlignment="1">
      <alignment horizontal="center" vertical="center"/>
    </xf>
    <xf numFmtId="164" fontId="22" fillId="0" borderId="12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22" fillId="0" borderId="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3" xfId="0" applyFont="1" applyBorder="1" applyAlignment="1">
      <alignment horizontal="center" vertical="top" wrapText="1"/>
    </xf>
    <xf numFmtId="0" fontId="18" fillId="8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/>
    </xf>
    <xf numFmtId="44" fontId="15" fillId="0" borderId="12" xfId="2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7" fillId="10" borderId="0" xfId="0" applyFont="1" applyFill="1" applyAlignment="1">
      <alignment horizontal="center"/>
    </xf>
  </cellXfs>
  <cellStyles count="5">
    <cellStyle name="Κανονικό" xfId="0" builtinId="0"/>
    <cellStyle name="Κανονικό 2" xfId="3" xr:uid="{0C687A4E-8921-DD42-A02B-83F25ADB61B7}"/>
    <cellStyle name="Κόμμα" xfId="1" builtinId="3"/>
    <cellStyle name="Νομισματική μονάδα" xfId="2" builtinId="4"/>
    <cellStyle name="Υπερ-σύνδεση" xfId="4" builtinId="8"/>
  </cellStyles>
  <dxfs count="3">
    <dxf>
      <font>
        <color theme="1"/>
      </font>
      <numFmt numFmtId="2" formatCode="0.00"/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02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166688</xdr:colOff>
      <xdr:row>2</xdr:row>
      <xdr:rowOff>11906</xdr:rowOff>
    </xdr:to>
    <xdr:pic>
      <xdr:nvPicPr>
        <xdr:cNvPr id="3" name="Picture 488">
          <a:extLst>
            <a:ext uri="{FF2B5EF4-FFF2-40B4-BE49-F238E27FC236}">
              <a16:creationId xmlns:a16="http://schemas.microsoft.com/office/drawing/2014/main" id="{88F4C51E-9743-904E-90AB-A90C8C64C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42875" y="202406"/>
          <a:ext cx="6988969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k.georgilas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94FD-7451-B843-8A15-B64AD0136FCE}">
  <sheetPr>
    <tabColor rgb="FF92D050"/>
  </sheetPr>
  <dimension ref="A2:L285"/>
  <sheetViews>
    <sheetView tabSelected="1" zoomScaleNormal="100" workbookViewId="0">
      <selection activeCell="F43" sqref="F43"/>
    </sheetView>
  </sheetViews>
  <sheetFormatPr baseColWidth="10" defaultColWidth="11" defaultRowHeight="16"/>
  <cols>
    <col min="1" max="1" width="1.83203125" customWidth="1"/>
    <col min="2" max="2" width="54.5" bestFit="1" customWidth="1"/>
    <col min="3" max="3" width="12.1640625" customWidth="1"/>
    <col min="4" max="7" width="11.33203125" customWidth="1"/>
    <col min="8" max="8" width="12.6640625" customWidth="1"/>
  </cols>
  <sheetData>
    <row r="2" spans="1:10" ht="96.75" customHeight="1">
      <c r="B2" s="97"/>
      <c r="C2" s="97"/>
      <c r="D2" s="97"/>
      <c r="E2" s="97"/>
    </row>
    <row r="3" spans="1:10" ht="21.75" customHeight="1">
      <c r="B3" s="118" t="s">
        <v>12</v>
      </c>
      <c r="C3" s="118"/>
      <c r="D3" s="118"/>
      <c r="E3" s="118"/>
      <c r="F3" s="17"/>
    </row>
    <row r="5" spans="1:10" ht="17">
      <c r="A5" s="26"/>
      <c r="B5" s="4" t="s">
        <v>5</v>
      </c>
      <c r="C5" s="4"/>
      <c r="D5" s="19">
        <v>9</v>
      </c>
      <c r="E5" s="3">
        <f>LOOKUP(D5,C254:D280)</f>
        <v>1454.83</v>
      </c>
      <c r="F5" s="3"/>
    </row>
    <row r="6" spans="1:10">
      <c r="A6" s="26"/>
      <c r="B6" t="s">
        <v>6</v>
      </c>
      <c r="D6" s="19">
        <v>14</v>
      </c>
      <c r="E6" s="1">
        <f>D6*2.5%*E5</f>
        <v>509.19050000000004</v>
      </c>
      <c r="F6" s="1"/>
      <c r="G6" t="s">
        <v>78</v>
      </c>
    </row>
    <row r="7" spans="1:10">
      <c r="A7" s="26"/>
      <c r="B7" t="s">
        <v>47</v>
      </c>
      <c r="D7" s="20" t="s">
        <v>45</v>
      </c>
      <c r="E7" s="1">
        <f>IF(D7="NAI",E11*10%,0)</f>
        <v>196.40205000000003</v>
      </c>
      <c r="F7" s="1"/>
    </row>
    <row r="8" spans="1:10">
      <c r="A8" s="26"/>
      <c r="B8" t="s">
        <v>8</v>
      </c>
      <c r="E8" s="1">
        <f>(D267*16.78%)</f>
        <v>239.08311799999998</v>
      </c>
      <c r="F8" s="1"/>
    </row>
    <row r="9" spans="1:10">
      <c r="A9" s="26"/>
      <c r="B9" t="s">
        <v>9</v>
      </c>
      <c r="D9" s="19">
        <v>15</v>
      </c>
      <c r="E9" s="1">
        <f>IF(D9=5,(E5*2.5%),IF(D9=10,(E5*5%),IF(D9=15,(E5*7.5%),IF(D9=20,(E5*10%),IF(D9=25,(E5*12.5%),IF(D9=30,(E5*15%),IF(D9=0,0)))))))</f>
        <v>109.11224999999999</v>
      </c>
      <c r="F9" s="1"/>
    </row>
    <row r="10" spans="1:10">
      <c r="A10" s="26"/>
      <c r="E10" s="1"/>
      <c r="F10" s="1"/>
    </row>
    <row r="11" spans="1:10">
      <c r="A11" s="26"/>
      <c r="B11" t="s">
        <v>7</v>
      </c>
      <c r="E11" s="3">
        <f>SUM(E5:E6)</f>
        <v>1964.0205000000001</v>
      </c>
      <c r="F11" s="3"/>
      <c r="J11" s="80"/>
    </row>
    <row r="12" spans="1:10">
      <c r="A12" s="26"/>
      <c r="B12" t="s">
        <v>10</v>
      </c>
      <c r="E12" s="1">
        <f>SUM(E7:E9)</f>
        <v>544.59741800000006</v>
      </c>
      <c r="F12" s="1"/>
      <c r="J12" s="80"/>
    </row>
    <row r="13" spans="1:10">
      <c r="A13" s="26"/>
      <c r="J13" s="80"/>
    </row>
    <row r="14" spans="1:10">
      <c r="A14" s="26"/>
      <c r="B14" s="11" t="s">
        <v>11</v>
      </c>
      <c r="C14" s="11"/>
      <c r="D14" s="11"/>
      <c r="E14" s="12">
        <f>SUM(E11:E12)</f>
        <v>2508.6179179999999</v>
      </c>
      <c r="F14" s="12"/>
    </row>
    <row r="15" spans="1:10">
      <c r="A15" s="26"/>
      <c r="B15" s="11"/>
      <c r="C15" s="11"/>
      <c r="D15" s="11"/>
      <c r="E15" s="12"/>
      <c r="F15" s="12"/>
    </row>
    <row r="16" spans="1:10" ht="17" thickBot="1">
      <c r="A16" s="26"/>
    </row>
    <row r="17" spans="1:12" ht="15.75" customHeight="1">
      <c r="A17" s="26"/>
      <c r="B17" t="s">
        <v>35</v>
      </c>
      <c r="C17" s="2" t="s">
        <v>14</v>
      </c>
      <c r="D17" s="20">
        <v>162.5</v>
      </c>
      <c r="E17" s="10">
        <f>D175*D17</f>
        <v>2508.6179179999999</v>
      </c>
      <c r="F17" s="120" t="s">
        <v>66</v>
      </c>
      <c r="G17" s="82" t="s">
        <v>82</v>
      </c>
      <c r="H17" s="83"/>
      <c r="I17" s="88" t="s">
        <v>169</v>
      </c>
      <c r="J17" s="89"/>
      <c r="K17" s="89"/>
      <c r="L17" s="90"/>
    </row>
    <row r="18" spans="1:12">
      <c r="A18" s="26"/>
      <c r="B18" t="s">
        <v>36</v>
      </c>
      <c r="C18" s="2" t="s">
        <v>14</v>
      </c>
      <c r="D18" s="19"/>
      <c r="E18" s="1">
        <f>D18*D175</f>
        <v>0</v>
      </c>
      <c r="F18" s="120"/>
      <c r="G18" s="84"/>
      <c r="H18" s="85"/>
      <c r="I18" s="91"/>
      <c r="J18" s="92"/>
      <c r="K18" s="92"/>
      <c r="L18" s="93"/>
    </row>
    <row r="19" spans="1:12" ht="17" thickBot="1">
      <c r="A19" s="26"/>
      <c r="B19" t="s">
        <v>37</v>
      </c>
      <c r="C19" s="2" t="s">
        <v>14</v>
      </c>
      <c r="D19" s="19"/>
      <c r="E19" s="1">
        <f>D19*D175</f>
        <v>0</v>
      </c>
      <c r="F19" s="120"/>
      <c r="G19" s="86">
        <f>SUM(D17:D19)</f>
        <v>162.5</v>
      </c>
      <c r="H19" s="87"/>
      <c r="I19" s="94"/>
      <c r="J19" s="95"/>
      <c r="K19" s="95"/>
      <c r="L19" s="96"/>
    </row>
    <row r="20" spans="1:12">
      <c r="A20" s="26"/>
      <c r="J20" s="80"/>
    </row>
    <row r="21" spans="1:12">
      <c r="A21" s="26"/>
      <c r="B21" t="s">
        <v>13</v>
      </c>
      <c r="C21" s="2" t="s">
        <v>14</v>
      </c>
      <c r="D21" s="2">
        <v>162.5</v>
      </c>
      <c r="E21" s="1">
        <f>(D265*11.36%)</f>
        <v>178.39062399999997</v>
      </c>
      <c r="F21" s="1"/>
      <c r="G21" t="s">
        <v>79</v>
      </c>
      <c r="J21" s="80" t="s">
        <v>168</v>
      </c>
    </row>
    <row r="22" spans="1:12">
      <c r="A22" s="26"/>
      <c r="B22" t="s">
        <v>65</v>
      </c>
      <c r="D22" s="20">
        <v>1</v>
      </c>
      <c r="E22">
        <f>IF(D22=0,0)+IF(D22=1,29.35)+IF(D22=2,29.35*2)+IF(D22=3,29.35*2+32.39)+IF(D22=4,29.35*2+32.39+64.6)+IF(D22=5,29.35*2+32.39+64.6+64.6)</f>
        <v>29.35</v>
      </c>
      <c r="G22" t="s">
        <v>117</v>
      </c>
    </row>
    <row r="23" spans="1:12">
      <c r="A23" s="26"/>
    </row>
    <row r="24" spans="1:12">
      <c r="A24" s="26"/>
      <c r="B24" t="s">
        <v>16</v>
      </c>
      <c r="E24" s="1">
        <f>(E14*39.5%)</f>
        <v>990.90407761000006</v>
      </c>
      <c r="F24" s="1"/>
    </row>
    <row r="25" spans="1:12">
      <c r="A25" s="26"/>
      <c r="E25" s="1"/>
      <c r="F25" s="1"/>
    </row>
    <row r="26" spans="1:12">
      <c r="A26" s="26"/>
      <c r="B26" t="s">
        <v>15</v>
      </c>
      <c r="C26" s="2"/>
      <c r="E26" s="1">
        <f>D18/6.66*D182</f>
        <v>0</v>
      </c>
      <c r="F26" s="1"/>
      <c r="G26" t="s">
        <v>171</v>
      </c>
    </row>
    <row r="27" spans="1:12">
      <c r="A27" s="26"/>
      <c r="D27" s="23"/>
      <c r="E27" s="1"/>
      <c r="F27" s="1"/>
      <c r="G27" s="23"/>
    </row>
    <row r="28" spans="1:12">
      <c r="A28" s="26"/>
      <c r="C28" s="2"/>
      <c r="D28" s="2"/>
      <c r="E28" s="1"/>
      <c r="F28" s="1"/>
      <c r="G28" s="43"/>
    </row>
    <row r="29" spans="1:12">
      <c r="A29" s="26"/>
      <c r="B29" t="s">
        <v>39</v>
      </c>
      <c r="C29" s="2" t="s">
        <v>14</v>
      </c>
      <c r="D29" s="19">
        <v>0</v>
      </c>
      <c r="E29" s="1">
        <f>(D177*D29)*120%</f>
        <v>0</v>
      </c>
      <c r="F29" s="1"/>
      <c r="G29" t="s">
        <v>86</v>
      </c>
    </row>
    <row r="30" spans="1:12">
      <c r="A30" s="26"/>
      <c r="B30" t="s">
        <v>94</v>
      </c>
      <c r="C30" s="2" t="s">
        <v>14</v>
      </c>
      <c r="D30" s="19">
        <v>0</v>
      </c>
      <c r="E30" s="1">
        <f>D30*D177*140%</f>
        <v>0</v>
      </c>
      <c r="F30" s="1"/>
      <c r="G30" t="s">
        <v>108</v>
      </c>
    </row>
    <row r="31" spans="1:12">
      <c r="A31" s="26"/>
      <c r="B31" t="s">
        <v>93</v>
      </c>
      <c r="C31" s="2" t="s">
        <v>14</v>
      </c>
      <c r="D31" s="19">
        <v>0</v>
      </c>
      <c r="E31" s="1">
        <f>(D177*D31)*120%</f>
        <v>0</v>
      </c>
      <c r="F31" s="1"/>
      <c r="G31" t="s">
        <v>87</v>
      </c>
    </row>
    <row r="32" spans="1:12">
      <c r="A32" s="26"/>
    </row>
    <row r="33" spans="1:7">
      <c r="A33" s="26"/>
      <c r="B33" t="s">
        <v>114</v>
      </c>
      <c r="C33" s="2" t="s">
        <v>14</v>
      </c>
      <c r="D33" s="19">
        <v>0</v>
      </c>
      <c r="E33" s="1">
        <f>D33*D175*25%</f>
        <v>0</v>
      </c>
      <c r="F33" s="1"/>
      <c r="G33" t="s">
        <v>115</v>
      </c>
    </row>
    <row r="34" spans="1:7">
      <c r="A34" s="26"/>
      <c r="B34" t="s">
        <v>40</v>
      </c>
      <c r="C34" s="2" t="s">
        <v>14</v>
      </c>
      <c r="D34" s="19">
        <v>0</v>
      </c>
      <c r="E34" s="1">
        <f>(D177*D34)*120%*25%</f>
        <v>0</v>
      </c>
      <c r="F34" s="1"/>
      <c r="G34" s="63" t="s">
        <v>106</v>
      </c>
    </row>
    <row r="35" spans="1:7">
      <c r="A35" s="26"/>
      <c r="B35" t="s">
        <v>42</v>
      </c>
      <c r="C35" s="2" t="s">
        <v>14</v>
      </c>
      <c r="D35" s="19">
        <v>0</v>
      </c>
      <c r="E35" s="1">
        <f>(D177*D35)*140%*25%</f>
        <v>0</v>
      </c>
      <c r="F35" s="1"/>
      <c r="G35" s="43" t="s">
        <v>103</v>
      </c>
    </row>
    <row r="36" spans="1:7">
      <c r="A36" s="26"/>
      <c r="B36" t="s">
        <v>92</v>
      </c>
      <c r="C36" s="2" t="s">
        <v>14</v>
      </c>
      <c r="D36" s="19">
        <v>0</v>
      </c>
      <c r="E36" s="1">
        <f>(D177*D36)*180%*25%</f>
        <v>0</v>
      </c>
      <c r="F36" s="1"/>
      <c r="G36" s="43" t="s">
        <v>105</v>
      </c>
    </row>
    <row r="37" spans="1:7">
      <c r="A37" s="26"/>
      <c r="C37" s="2"/>
      <c r="D37" s="2"/>
      <c r="E37" s="1"/>
      <c r="F37" s="1"/>
    </row>
    <row r="38" spans="1:7">
      <c r="A38" s="26"/>
      <c r="B38" t="s">
        <v>44</v>
      </c>
      <c r="C38" s="2" t="s">
        <v>14</v>
      </c>
      <c r="D38" s="19">
        <v>0</v>
      </c>
      <c r="E38" s="1">
        <f>D38*D175*75%</f>
        <v>0</v>
      </c>
      <c r="F38" s="1"/>
      <c r="G38" t="s">
        <v>101</v>
      </c>
    </row>
    <row r="39" spans="1:7">
      <c r="A39" s="26"/>
      <c r="B39" t="s">
        <v>41</v>
      </c>
      <c r="C39" s="2" t="s">
        <v>14</v>
      </c>
      <c r="D39" s="19">
        <v>0</v>
      </c>
      <c r="E39" s="1">
        <f>(D177*D39)*120%*75%</f>
        <v>0</v>
      </c>
      <c r="F39" s="1"/>
      <c r="G39" s="63" t="s">
        <v>91</v>
      </c>
    </row>
    <row r="40" spans="1:7">
      <c r="A40" s="26"/>
      <c r="B40" t="s">
        <v>43</v>
      </c>
      <c r="C40" s="2" t="s">
        <v>14</v>
      </c>
      <c r="D40" s="19">
        <v>0</v>
      </c>
      <c r="E40" s="1">
        <f>(D177*D40)*140%*75%</f>
        <v>0</v>
      </c>
      <c r="G40" s="43" t="s">
        <v>107</v>
      </c>
    </row>
    <row r="41" spans="1:7">
      <c r="A41" s="26"/>
      <c r="B41" t="s">
        <v>102</v>
      </c>
      <c r="C41" s="2" t="s">
        <v>14</v>
      </c>
      <c r="D41" s="19">
        <v>0</v>
      </c>
      <c r="E41" s="1">
        <f>(D177*D41)*180%*75%</f>
        <v>0</v>
      </c>
      <c r="F41" s="1"/>
      <c r="G41" s="43" t="s">
        <v>100</v>
      </c>
    </row>
    <row r="42" spans="1:7">
      <c r="A42" s="26"/>
      <c r="C42" s="2"/>
      <c r="E42" s="1"/>
      <c r="F42" s="1"/>
    </row>
    <row r="43" spans="1:7">
      <c r="A43" s="26"/>
      <c r="B43" t="s">
        <v>84</v>
      </c>
      <c r="C43" s="2" t="s">
        <v>14</v>
      </c>
      <c r="D43" s="19">
        <v>0</v>
      </c>
      <c r="E43" s="1">
        <f>(D177*D43)*120%*175%</f>
        <v>0</v>
      </c>
      <c r="F43" s="1"/>
      <c r="G43" s="63" t="s">
        <v>89</v>
      </c>
    </row>
    <row r="44" spans="1:7">
      <c r="A44" s="26"/>
      <c r="B44" t="s">
        <v>109</v>
      </c>
      <c r="C44" s="2" t="s">
        <v>14</v>
      </c>
      <c r="D44" s="64">
        <v>0</v>
      </c>
      <c r="E44" s="1">
        <f>(D177*D44)*140%*175%</f>
        <v>0</v>
      </c>
      <c r="F44" s="1"/>
      <c r="G44" s="43" t="s">
        <v>110</v>
      </c>
    </row>
    <row r="45" spans="1:7">
      <c r="A45" s="26"/>
      <c r="B45" t="s">
        <v>95</v>
      </c>
      <c r="C45" s="2" t="s">
        <v>14</v>
      </c>
      <c r="D45" s="19">
        <v>0</v>
      </c>
      <c r="E45" s="1">
        <f>(D177*D45)*180%*175%</f>
        <v>0</v>
      </c>
      <c r="F45" s="1"/>
      <c r="G45" s="43" t="s">
        <v>96</v>
      </c>
    </row>
    <row r="46" spans="1:7">
      <c r="A46" s="26"/>
      <c r="C46" s="2"/>
      <c r="D46" s="2"/>
      <c r="E46" s="1"/>
      <c r="F46" s="1"/>
      <c r="G46" s="43"/>
    </row>
    <row r="47" spans="1:7">
      <c r="A47" s="26"/>
      <c r="B47" t="s">
        <v>85</v>
      </c>
      <c r="C47" s="2" t="s">
        <v>14</v>
      </c>
      <c r="D47" s="19">
        <v>0</v>
      </c>
      <c r="E47" s="1">
        <f>(D177*D47)*120%*100%</f>
        <v>0</v>
      </c>
      <c r="F47" s="1"/>
      <c r="G47" s="63" t="s">
        <v>90</v>
      </c>
    </row>
    <row r="48" spans="1:7">
      <c r="A48" s="26"/>
      <c r="B48" t="s">
        <v>111</v>
      </c>
      <c r="C48" s="2" t="s">
        <v>14</v>
      </c>
      <c r="D48" s="19">
        <v>0</v>
      </c>
      <c r="E48" s="1">
        <f>(D177*D48)*140%*100%</f>
        <v>0</v>
      </c>
      <c r="F48" s="1"/>
      <c r="G48" s="43" t="s">
        <v>112</v>
      </c>
    </row>
    <row r="49" spans="1:7">
      <c r="A49" s="26"/>
      <c r="B49" t="s">
        <v>97</v>
      </c>
      <c r="C49" s="2" t="s">
        <v>14</v>
      </c>
      <c r="D49" s="19">
        <v>0</v>
      </c>
      <c r="E49" s="1">
        <f>(D177*D49)*180%*100%</f>
        <v>0</v>
      </c>
      <c r="F49" s="1"/>
      <c r="G49" s="43" t="s">
        <v>98</v>
      </c>
    </row>
    <row r="50" spans="1:7">
      <c r="A50" s="26"/>
      <c r="C50" s="2"/>
      <c r="E50" s="1"/>
      <c r="F50" s="1"/>
    </row>
    <row r="51" spans="1:7">
      <c r="A51" s="26"/>
      <c r="B51" t="s">
        <v>88</v>
      </c>
      <c r="C51" s="2" t="s">
        <v>14</v>
      </c>
      <c r="D51" s="19">
        <v>0</v>
      </c>
      <c r="E51" s="1">
        <f>(D177*D51)*120%*75%</f>
        <v>0</v>
      </c>
      <c r="F51" s="1"/>
      <c r="G51" s="63" t="s">
        <v>91</v>
      </c>
    </row>
    <row r="52" spans="1:7">
      <c r="A52" s="26"/>
      <c r="B52" t="s">
        <v>99</v>
      </c>
      <c r="C52" s="2" t="s">
        <v>14</v>
      </c>
      <c r="D52" s="19">
        <v>0</v>
      </c>
      <c r="E52" s="1">
        <f>(D177*D52)*140%*75%</f>
        <v>0</v>
      </c>
      <c r="F52" s="1"/>
      <c r="G52" s="43" t="s">
        <v>107</v>
      </c>
    </row>
    <row r="53" spans="1:7">
      <c r="A53" s="26"/>
      <c r="B53" t="s">
        <v>113</v>
      </c>
      <c r="C53" s="2" t="s">
        <v>14</v>
      </c>
      <c r="D53" s="19">
        <v>0</v>
      </c>
      <c r="E53" s="1">
        <f>(D177*D53)*180%*75%</f>
        <v>0</v>
      </c>
      <c r="G53" s="43" t="s">
        <v>100</v>
      </c>
    </row>
    <row r="54" spans="1:7">
      <c r="A54" s="26"/>
    </row>
    <row r="55" spans="1:7">
      <c r="A55" s="26"/>
      <c r="B55" s="2"/>
      <c r="C55" s="2"/>
    </row>
    <row r="56" spans="1:7">
      <c r="A56" s="26"/>
      <c r="B56" s="32" t="s">
        <v>74</v>
      </c>
      <c r="C56" s="27"/>
      <c r="D56" s="26"/>
      <c r="E56" s="28">
        <f>SUM(E17:E24)</f>
        <v>3707.26261961</v>
      </c>
      <c r="F56" s="28"/>
      <c r="G56" s="43"/>
    </row>
    <row r="57" spans="1:7">
      <c r="G57" s="43"/>
    </row>
    <row r="58" spans="1:7">
      <c r="G58" s="43"/>
    </row>
    <row r="59" spans="1:7">
      <c r="A59" s="14"/>
      <c r="B59" t="s">
        <v>17</v>
      </c>
      <c r="E59" s="1">
        <f>E14*16.82%</f>
        <v>421.94953380760001</v>
      </c>
      <c r="F59" s="1"/>
      <c r="G59" s="43" t="s">
        <v>48</v>
      </c>
    </row>
    <row r="60" spans="1:7">
      <c r="A60" s="14"/>
      <c r="G60" s="43"/>
    </row>
    <row r="61" spans="1:7">
      <c r="A61" s="14"/>
      <c r="B61" t="s">
        <v>28</v>
      </c>
      <c r="D61" s="16"/>
      <c r="E61" s="1">
        <f>IF(D22=0,D116)+IF(D22=1,E116)+IF(D22=2,F116)+IF(D22=3,G116)+IF(D22=4,H116)</f>
        <v>863.62504463940672</v>
      </c>
      <c r="F61" s="1"/>
      <c r="G61" s="23" t="s">
        <v>116</v>
      </c>
    </row>
    <row r="62" spans="1:7">
      <c r="A62" s="14"/>
      <c r="B62" t="s">
        <v>32</v>
      </c>
      <c r="D62" s="19">
        <v>1</v>
      </c>
      <c r="E62" s="18">
        <f>IF(D62=1,18.6,0)</f>
        <v>18.600000000000001</v>
      </c>
      <c r="F62" s="1"/>
      <c r="G62" s="43"/>
    </row>
    <row r="63" spans="1:7">
      <c r="A63" s="14"/>
      <c r="B63" t="s">
        <v>31</v>
      </c>
      <c r="D63" s="19">
        <v>1</v>
      </c>
      <c r="E63" s="1">
        <f>D63*15.8</f>
        <v>15.8</v>
      </c>
      <c r="F63" s="1"/>
    </row>
    <row r="64" spans="1:7">
      <c r="A64" s="14"/>
      <c r="B64" t="s">
        <v>29</v>
      </c>
      <c r="E64" s="1">
        <v>12.17</v>
      </c>
      <c r="F64" s="1"/>
    </row>
    <row r="65" spans="1:7">
      <c r="A65" s="14"/>
      <c r="B65" t="s">
        <v>30</v>
      </c>
      <c r="E65" s="1">
        <v>3</v>
      </c>
      <c r="F65" s="1"/>
    </row>
    <row r="66" spans="1:7">
      <c r="A66" s="14"/>
      <c r="B66" t="s">
        <v>149</v>
      </c>
      <c r="D66" s="21">
        <v>0.1</v>
      </c>
      <c r="E66" s="1">
        <f>(E14+E21)*D66+(E24*(39.5%*D66))</f>
        <v>307.84156526559502</v>
      </c>
      <c r="F66" s="1"/>
    </row>
    <row r="67" spans="1:7">
      <c r="A67" s="14"/>
      <c r="E67" s="1"/>
      <c r="F67" s="1"/>
    </row>
    <row r="68" spans="1:7">
      <c r="A68" s="14"/>
      <c r="E68" s="1"/>
      <c r="F68" s="1"/>
    </row>
    <row r="69" spans="1:7">
      <c r="A69" s="14"/>
      <c r="B69" t="s">
        <v>49</v>
      </c>
      <c r="E69" s="22"/>
      <c r="F69" s="1"/>
    </row>
    <row r="70" spans="1:7">
      <c r="A70" s="14"/>
      <c r="B70" t="s">
        <v>50</v>
      </c>
      <c r="E70" s="22"/>
      <c r="F70" s="1"/>
    </row>
    <row r="71" spans="1:7">
      <c r="A71" s="14"/>
    </row>
    <row r="72" spans="1:7">
      <c r="A72" s="14"/>
      <c r="B72" s="31" t="s">
        <v>73</v>
      </c>
      <c r="C72" s="13"/>
      <c r="D72" s="13"/>
      <c r="E72" s="15">
        <f>SUM(E59:E70)</f>
        <v>1642.9861437126019</v>
      </c>
      <c r="F72" s="15"/>
    </row>
    <row r="73" spans="1:7">
      <c r="B73" s="5"/>
      <c r="C73" s="5"/>
    </row>
    <row r="74" spans="1:7">
      <c r="E74" s="1"/>
      <c r="F74" s="1"/>
    </row>
    <row r="75" spans="1:7">
      <c r="A75" s="26"/>
      <c r="B75" s="32" t="s">
        <v>72</v>
      </c>
      <c r="C75" s="26"/>
      <c r="D75" s="26"/>
      <c r="E75" s="33">
        <f>E56-E59</f>
        <v>3285.3130858024001</v>
      </c>
      <c r="F75" s="26"/>
      <c r="G75" s="65" t="s">
        <v>67</v>
      </c>
    </row>
    <row r="77" spans="1:7">
      <c r="B77" t="s">
        <v>75</v>
      </c>
      <c r="E77" s="34"/>
    </row>
    <row r="79" spans="1:7">
      <c r="A79" s="24"/>
      <c r="B79" s="25" t="s">
        <v>76</v>
      </c>
      <c r="C79" s="25"/>
      <c r="D79" s="25"/>
      <c r="E79" s="29">
        <f>E56-E72-E77</f>
        <v>2064.2764758973981</v>
      </c>
      <c r="F79" s="25"/>
    </row>
    <row r="88" spans="2:8" ht="19">
      <c r="B88" s="119" t="s">
        <v>51</v>
      </c>
      <c r="C88" s="119"/>
      <c r="D88" s="119"/>
      <c r="E88" s="119"/>
      <c r="F88" s="119"/>
      <c r="G88" s="119"/>
      <c r="H88" s="119"/>
    </row>
    <row r="90" spans="2:8" ht="17" thickBot="1">
      <c r="B90" s="43"/>
      <c r="C90" s="43"/>
      <c r="D90" s="43"/>
      <c r="E90" s="43"/>
      <c r="F90" s="43"/>
      <c r="G90" s="43"/>
      <c r="H90" s="43"/>
    </row>
    <row r="91" spans="2:8" ht="17" thickBot="1">
      <c r="B91" s="43"/>
      <c r="C91" s="43"/>
      <c r="D91" s="98" t="s">
        <v>81</v>
      </c>
      <c r="E91" s="99"/>
      <c r="F91" s="99"/>
      <c r="G91" s="99"/>
      <c r="H91" s="100"/>
    </row>
    <row r="92" spans="2:8" ht="16.5" customHeight="1" thickBot="1">
      <c r="B92" s="105" t="s">
        <v>64</v>
      </c>
      <c r="C92" s="106"/>
      <c r="D92" s="102" t="s">
        <v>52</v>
      </c>
      <c r="E92" s="103"/>
      <c r="F92" s="103"/>
      <c r="G92" s="103"/>
      <c r="H92" s="104"/>
    </row>
    <row r="93" spans="2:8" ht="17" thickBot="1">
      <c r="B93" s="107"/>
      <c r="C93" s="108"/>
      <c r="D93" s="37" t="s">
        <v>53</v>
      </c>
      <c r="E93" s="38" t="s">
        <v>54</v>
      </c>
      <c r="F93" s="36" t="s">
        <v>55</v>
      </c>
      <c r="G93" s="39" t="s">
        <v>56</v>
      </c>
      <c r="H93" s="40" t="s">
        <v>57</v>
      </c>
    </row>
    <row r="94" spans="2:8" ht="17" thickBot="1">
      <c r="B94" s="109" t="s">
        <v>58</v>
      </c>
      <c r="C94" s="110"/>
      <c r="D94" s="44">
        <v>0.09</v>
      </c>
      <c r="E94" s="44">
        <v>0.09</v>
      </c>
      <c r="F94" s="44">
        <v>0.09</v>
      </c>
      <c r="G94" s="44">
        <v>0.09</v>
      </c>
      <c r="H94" s="44">
        <v>0</v>
      </c>
    </row>
    <row r="95" spans="2:8" ht="17" thickBot="1">
      <c r="B95" s="111" t="s">
        <v>59</v>
      </c>
      <c r="C95" s="112"/>
      <c r="D95" s="44">
        <v>0.2</v>
      </c>
      <c r="E95" s="44">
        <v>0.18</v>
      </c>
      <c r="F95" s="44">
        <v>0.16</v>
      </c>
      <c r="G95" s="44">
        <v>0.09</v>
      </c>
      <c r="H95" s="44">
        <v>0</v>
      </c>
    </row>
    <row r="96" spans="2:8" ht="17" thickBot="1">
      <c r="B96" s="109" t="s">
        <v>60</v>
      </c>
      <c r="C96" s="110"/>
      <c r="D96" s="44">
        <v>0.26</v>
      </c>
      <c r="E96" s="44">
        <v>0.24</v>
      </c>
      <c r="F96" s="44">
        <v>0.22</v>
      </c>
      <c r="G96" s="44">
        <v>0.2</v>
      </c>
      <c r="H96" s="44">
        <v>0.18</v>
      </c>
    </row>
    <row r="97" spans="2:10" ht="17" thickBot="1">
      <c r="B97" s="111" t="s">
        <v>61</v>
      </c>
      <c r="C97" s="112"/>
      <c r="D97" s="44">
        <v>0.34</v>
      </c>
      <c r="E97" s="44">
        <v>0.34</v>
      </c>
      <c r="F97" s="44">
        <v>0.34</v>
      </c>
      <c r="G97" s="44">
        <v>0.34</v>
      </c>
      <c r="H97" s="44">
        <v>0.34</v>
      </c>
    </row>
    <row r="98" spans="2:10" ht="17" thickBot="1">
      <c r="B98" s="111" t="s">
        <v>62</v>
      </c>
      <c r="C98" s="112"/>
      <c r="D98" s="44">
        <v>0.39</v>
      </c>
      <c r="E98" s="44">
        <v>0.39</v>
      </c>
      <c r="F98" s="44">
        <v>0.39</v>
      </c>
      <c r="G98" s="44">
        <v>0.39</v>
      </c>
      <c r="H98" s="44">
        <v>0.39</v>
      </c>
    </row>
    <row r="99" spans="2:10" ht="17" thickBot="1">
      <c r="B99" s="113" t="s">
        <v>63</v>
      </c>
      <c r="C99" s="114"/>
      <c r="D99" s="44">
        <v>0.44</v>
      </c>
      <c r="E99" s="44">
        <v>0.44</v>
      </c>
      <c r="F99" s="44">
        <v>0.44</v>
      </c>
      <c r="G99" s="44">
        <v>0.44</v>
      </c>
      <c r="H99" s="44">
        <v>0.44</v>
      </c>
    </row>
    <row r="100" spans="2:10">
      <c r="B100" s="43"/>
      <c r="C100" s="43"/>
      <c r="D100" s="43"/>
      <c r="E100" s="43"/>
      <c r="F100" s="43"/>
      <c r="G100" s="43"/>
      <c r="H100" s="43"/>
    </row>
    <row r="101" spans="2:10">
      <c r="B101" s="43"/>
      <c r="C101" s="43"/>
      <c r="D101" s="43"/>
      <c r="E101" s="43"/>
      <c r="F101" s="43"/>
      <c r="G101" s="43"/>
      <c r="H101" s="43"/>
    </row>
    <row r="102" spans="2:10">
      <c r="B102" s="43"/>
      <c r="C102" s="43"/>
      <c r="D102" s="43"/>
      <c r="E102" s="43"/>
      <c r="F102" s="43"/>
      <c r="G102" s="43"/>
      <c r="H102" s="43"/>
    </row>
    <row r="103" spans="2:10">
      <c r="D103" s="43"/>
      <c r="E103" s="43"/>
      <c r="F103" s="43"/>
      <c r="G103" s="43"/>
      <c r="H103" s="43"/>
    </row>
    <row r="104" spans="2:10">
      <c r="D104" s="43"/>
      <c r="E104" s="43"/>
      <c r="F104" s="43"/>
      <c r="G104" s="43"/>
      <c r="H104" s="43"/>
    </row>
    <row r="105" spans="2:10" ht="17" thickBot="1">
      <c r="B105" s="66" t="s">
        <v>68</v>
      </c>
      <c r="C105" s="45">
        <f>E75*17</f>
        <v>55850.322458640803</v>
      </c>
      <c r="D105" s="43"/>
      <c r="E105" s="43"/>
      <c r="F105" s="43"/>
      <c r="G105" s="43"/>
      <c r="H105" s="43"/>
    </row>
    <row r="106" spans="2:10" ht="15.75" customHeight="1" thickBot="1">
      <c r="B106" s="43"/>
      <c r="C106" s="43"/>
      <c r="D106" s="115" t="s">
        <v>69</v>
      </c>
      <c r="E106" s="116"/>
      <c r="F106" s="116"/>
      <c r="G106" s="116"/>
      <c r="H106" s="117"/>
    </row>
    <row r="107" spans="2:10" ht="17" thickBot="1">
      <c r="B107" s="102" t="s">
        <v>150</v>
      </c>
      <c r="C107" s="104"/>
      <c r="D107" s="35" t="s">
        <v>53</v>
      </c>
      <c r="E107" s="36" t="s">
        <v>54</v>
      </c>
      <c r="F107" s="35" t="s">
        <v>55</v>
      </c>
      <c r="G107" s="36" t="s">
        <v>56</v>
      </c>
      <c r="H107" s="36" t="s">
        <v>57</v>
      </c>
    </row>
    <row r="108" spans="2:10" ht="19" thickBot="1">
      <c r="B108" s="46" t="s">
        <v>58</v>
      </c>
      <c r="C108" s="47">
        <f>IF((C105-0)&lt;=10000, C105-0,10000)</f>
        <v>10000</v>
      </c>
      <c r="D108" s="48">
        <f t="shared" ref="D108:D113" si="0">IF(C108&gt;0,C108*D94,0)</f>
        <v>900</v>
      </c>
      <c r="E108" s="49">
        <f t="shared" ref="E108:E113" si="1">IF(C108&gt;0,C108*E94,0)</f>
        <v>900</v>
      </c>
      <c r="F108" s="50">
        <f t="shared" ref="F108:F113" si="2">IF(C108&gt;0,C108*F94,0)</f>
        <v>900</v>
      </c>
      <c r="G108" s="49">
        <f t="shared" ref="G108:G113" si="3">IF(C108&gt;0,C108*G94,0)</f>
        <v>900</v>
      </c>
      <c r="H108" s="51">
        <f t="shared" ref="H108:H113" si="4">IF(C108&gt;0,C108*H94,0)</f>
        <v>0</v>
      </c>
      <c r="J108" s="74"/>
    </row>
    <row r="109" spans="2:10" ht="17" thickBot="1">
      <c r="B109" s="46" t="s">
        <v>59</v>
      </c>
      <c r="C109" s="52">
        <f>IF(C105 &gt; 20000, 10000, IF(C105 &gt; 10000, C105 - 10000, 0))</f>
        <v>10000</v>
      </c>
      <c r="D109" s="53">
        <f t="shared" si="0"/>
        <v>2000</v>
      </c>
      <c r="E109" s="52">
        <f t="shared" si="1"/>
        <v>1800</v>
      </c>
      <c r="F109" s="54">
        <f t="shared" si="2"/>
        <v>1600</v>
      </c>
      <c r="G109" s="52">
        <f t="shared" si="3"/>
        <v>900</v>
      </c>
      <c r="H109" s="55">
        <f t="shared" si="4"/>
        <v>0</v>
      </c>
    </row>
    <row r="110" spans="2:10" ht="17" thickBot="1">
      <c r="B110" s="46" t="s">
        <v>60</v>
      </c>
      <c r="C110" s="47">
        <f>IF(C105 &gt; 30000, 10000, IF(C105 &gt; 20000, C105 - 20000, 0))</f>
        <v>10000</v>
      </c>
      <c r="D110" s="56">
        <f t="shared" si="0"/>
        <v>2600</v>
      </c>
      <c r="E110" s="57">
        <f t="shared" si="1"/>
        <v>2400</v>
      </c>
      <c r="F110" s="45">
        <f t="shared" si="2"/>
        <v>2200</v>
      </c>
      <c r="G110" s="57">
        <f t="shared" si="3"/>
        <v>2000</v>
      </c>
      <c r="H110" s="47">
        <f t="shared" si="4"/>
        <v>1800</v>
      </c>
    </row>
    <row r="111" spans="2:10" ht="17" thickBot="1">
      <c r="B111" s="46" t="s">
        <v>61</v>
      </c>
      <c r="C111" s="52">
        <f>IF(C105 &gt; 40000, 10000, IF(C105 &gt; 30000, C105 - 30000, 0))</f>
        <v>10000</v>
      </c>
      <c r="D111" s="53">
        <f t="shared" si="0"/>
        <v>3400.0000000000005</v>
      </c>
      <c r="E111" s="52">
        <f t="shared" si="1"/>
        <v>3400.0000000000005</v>
      </c>
      <c r="F111" s="54">
        <f t="shared" si="2"/>
        <v>3400.0000000000005</v>
      </c>
      <c r="G111" s="52">
        <f t="shared" si="3"/>
        <v>3400.0000000000005</v>
      </c>
      <c r="H111" s="55">
        <f t="shared" si="4"/>
        <v>3400.0000000000005</v>
      </c>
    </row>
    <row r="112" spans="2:10" ht="17" thickBot="1">
      <c r="B112" s="46" t="s">
        <v>62</v>
      </c>
      <c r="C112" s="47">
        <f>IF(C105 &gt; 60000, 20000, IF(C105 &gt; 40000, C105 - 40000, 0))</f>
        <v>15850.322458640803</v>
      </c>
      <c r="D112" s="53">
        <f t="shared" si="0"/>
        <v>6181.6257588699136</v>
      </c>
      <c r="E112" s="52">
        <f t="shared" si="1"/>
        <v>6181.6257588699136</v>
      </c>
      <c r="F112" s="54">
        <f t="shared" si="2"/>
        <v>6181.6257588699136</v>
      </c>
      <c r="G112" s="52">
        <f t="shared" si="3"/>
        <v>6181.6257588699136</v>
      </c>
      <c r="H112" s="55">
        <f t="shared" si="4"/>
        <v>6181.6257588699136</v>
      </c>
    </row>
    <row r="113" spans="2:8" ht="17" thickBot="1">
      <c r="B113" s="58" t="s">
        <v>63</v>
      </c>
      <c r="C113" s="52">
        <f>IF(C105 &gt; 60000, C105 - 60000, 0)</f>
        <v>0</v>
      </c>
      <c r="D113" s="59">
        <f t="shared" si="0"/>
        <v>0</v>
      </c>
      <c r="E113" s="60">
        <f t="shared" si="1"/>
        <v>0</v>
      </c>
      <c r="F113" s="61">
        <f t="shared" si="2"/>
        <v>0</v>
      </c>
      <c r="G113" s="60">
        <f t="shared" si="3"/>
        <v>0</v>
      </c>
      <c r="H113" s="62">
        <f t="shared" si="4"/>
        <v>0</v>
      </c>
    </row>
    <row r="114" spans="2:8">
      <c r="B114" s="43"/>
      <c r="C114" s="43"/>
      <c r="D114" s="43"/>
      <c r="E114" s="43"/>
      <c r="F114" s="43"/>
      <c r="G114" s="43"/>
      <c r="H114" s="43"/>
    </row>
    <row r="115" spans="2:8">
      <c r="B115" s="30" t="s">
        <v>70</v>
      </c>
      <c r="C115" s="43"/>
      <c r="D115" s="45">
        <f>SUM(D108:D113)</f>
        <v>15081.625758869914</v>
      </c>
      <c r="E115" s="45">
        <f t="shared" ref="E115:G115" si="5">SUM(E108:E113)</f>
        <v>14681.625758869914</v>
      </c>
      <c r="F115" s="45">
        <f t="shared" si="5"/>
        <v>14281.625758869914</v>
      </c>
      <c r="G115" s="45">
        <f t="shared" si="5"/>
        <v>13381.625758869914</v>
      </c>
      <c r="H115" s="45">
        <f>SUM(H108:H113)</f>
        <v>11381.625758869914</v>
      </c>
    </row>
    <row r="116" spans="2:8">
      <c r="B116" s="30" t="s">
        <v>71</v>
      </c>
      <c r="C116" s="43"/>
      <c r="D116" s="45">
        <f>D115/17</f>
        <v>887.15445640411258</v>
      </c>
      <c r="E116" s="45">
        <f t="shared" ref="E116:H116" si="6">E115/17</f>
        <v>863.62504463940672</v>
      </c>
      <c r="F116" s="45">
        <f t="shared" si="6"/>
        <v>840.09563287470075</v>
      </c>
      <c r="G116" s="45">
        <f t="shared" si="6"/>
        <v>787.15445640411258</v>
      </c>
      <c r="H116" s="45">
        <f t="shared" si="6"/>
        <v>669.50739758058319</v>
      </c>
    </row>
    <row r="117" spans="2:8">
      <c r="B117" s="30"/>
      <c r="C117" s="43"/>
      <c r="D117" s="45"/>
      <c r="E117" s="45"/>
      <c r="F117" s="45"/>
      <c r="G117" s="45"/>
      <c r="H117" s="45"/>
    </row>
    <row r="118" spans="2:8">
      <c r="B118" s="30"/>
      <c r="C118" s="43"/>
      <c r="D118" s="45"/>
      <c r="E118" s="45"/>
      <c r="F118" s="45"/>
      <c r="G118" s="45"/>
      <c r="H118" s="45"/>
    </row>
    <row r="119" spans="2:8">
      <c r="B119" s="30"/>
      <c r="C119" s="43"/>
      <c r="D119" s="45"/>
      <c r="E119" s="45"/>
      <c r="F119" s="45"/>
      <c r="G119" s="45"/>
      <c r="H119" s="45"/>
    </row>
    <row r="120" spans="2:8">
      <c r="B120" s="30"/>
      <c r="C120" s="43"/>
      <c r="D120" s="45"/>
      <c r="E120" s="45"/>
      <c r="F120" s="45"/>
      <c r="G120" s="45"/>
      <c r="H120" s="45"/>
    </row>
    <row r="121" spans="2:8">
      <c r="D121" s="45"/>
      <c r="E121" s="45"/>
      <c r="F121" s="45"/>
      <c r="G121" s="45"/>
      <c r="H121" s="45"/>
    </row>
    <row r="122" spans="2:8" ht="17" thickBot="1">
      <c r="B122" s="73" t="s">
        <v>151</v>
      </c>
      <c r="C122" s="45">
        <f>E203*17</f>
        <v>36730.488132184946</v>
      </c>
      <c r="D122" s="45"/>
      <c r="E122" s="45"/>
      <c r="F122" s="45"/>
      <c r="G122" s="45"/>
      <c r="H122" s="45"/>
    </row>
    <row r="123" spans="2:8" ht="16.5" customHeight="1" thickBot="1">
      <c r="B123" s="43"/>
      <c r="C123" s="43"/>
      <c r="D123" s="102" t="s">
        <v>69</v>
      </c>
      <c r="E123" s="103"/>
      <c r="F123" s="103"/>
      <c r="G123" s="103"/>
      <c r="H123" s="104"/>
    </row>
    <row r="124" spans="2:8" ht="17" thickBot="1">
      <c r="B124" s="102" t="s">
        <v>159</v>
      </c>
      <c r="C124" s="104"/>
      <c r="D124" s="35" t="s">
        <v>53</v>
      </c>
      <c r="E124" s="36" t="s">
        <v>54</v>
      </c>
      <c r="F124" s="35" t="s">
        <v>55</v>
      </c>
      <c r="G124" s="36" t="s">
        <v>56</v>
      </c>
      <c r="H124" s="36" t="s">
        <v>57</v>
      </c>
    </row>
    <row r="125" spans="2:8" ht="17" thickBot="1">
      <c r="B125" s="46" t="s">
        <v>58</v>
      </c>
      <c r="C125" s="47">
        <f>IF((C122-0)&lt;=10000, C122-0,10000)</f>
        <v>10000</v>
      </c>
      <c r="D125" s="48">
        <f t="shared" ref="D125:D130" si="7">IF(C125&gt;0,C125*D94,0)</f>
        <v>900</v>
      </c>
      <c r="E125" s="49">
        <f t="shared" ref="E125:E130" si="8">IF(C125&gt;0,C125*E94,0)</f>
        <v>900</v>
      </c>
      <c r="F125" s="50">
        <f t="shared" ref="F125:F130" si="9">IF(C125&gt;0,C125*F94,0)</f>
        <v>900</v>
      </c>
      <c r="G125" s="49">
        <f t="shared" ref="G125:G130" si="10">IF(C125&gt;0,C125*G94,0)</f>
        <v>900</v>
      </c>
      <c r="H125" s="51">
        <f t="shared" ref="H125:H130" si="11">IF(C125&gt;0,C125*H94,0)</f>
        <v>0</v>
      </c>
    </row>
    <row r="126" spans="2:8" ht="17" thickBot="1">
      <c r="B126" s="46" t="s">
        <v>59</v>
      </c>
      <c r="C126" s="52">
        <f>IF(C122 &gt; 20000, 10000, IF(C122 &gt; 10000, C122 - 10000, 0))</f>
        <v>10000</v>
      </c>
      <c r="D126" s="48">
        <f t="shared" si="7"/>
        <v>2000</v>
      </c>
      <c r="E126" s="49">
        <f t="shared" si="8"/>
        <v>1800</v>
      </c>
      <c r="F126" s="50">
        <f t="shared" si="9"/>
        <v>1600</v>
      </c>
      <c r="G126" s="49">
        <f t="shared" si="10"/>
        <v>900</v>
      </c>
      <c r="H126" s="51">
        <f t="shared" si="11"/>
        <v>0</v>
      </c>
    </row>
    <row r="127" spans="2:8" ht="17" thickBot="1">
      <c r="B127" s="46" t="s">
        <v>60</v>
      </c>
      <c r="C127" s="47">
        <f>IF(C122 &gt; 30000, 10000, IF(C122 &gt; 20000, C122 - 20000, 0))</f>
        <v>10000</v>
      </c>
      <c r="D127" s="48">
        <f t="shared" si="7"/>
        <v>2600</v>
      </c>
      <c r="E127" s="49">
        <f t="shared" si="8"/>
        <v>2400</v>
      </c>
      <c r="F127" s="50">
        <f t="shared" si="9"/>
        <v>2200</v>
      </c>
      <c r="G127" s="49">
        <f t="shared" si="10"/>
        <v>2000</v>
      </c>
      <c r="H127" s="51">
        <f t="shared" si="11"/>
        <v>1800</v>
      </c>
    </row>
    <row r="128" spans="2:8" ht="16.5" customHeight="1" thickBot="1">
      <c r="B128" s="46" t="s">
        <v>61</v>
      </c>
      <c r="C128" s="52">
        <f>IF(C122 &gt; 40000, 10000, IF(C122 &gt; 30000, C122 - 30000, 0))</f>
        <v>6730.4881321849462</v>
      </c>
      <c r="D128" s="48">
        <f t="shared" si="7"/>
        <v>2288.3659649428819</v>
      </c>
      <c r="E128" s="49">
        <f t="shared" si="8"/>
        <v>2288.3659649428819</v>
      </c>
      <c r="F128" s="50">
        <f t="shared" si="9"/>
        <v>2288.3659649428819</v>
      </c>
      <c r="G128" s="49">
        <f t="shared" si="10"/>
        <v>2288.3659649428819</v>
      </c>
      <c r="H128" s="51">
        <f t="shared" si="11"/>
        <v>2288.3659649428819</v>
      </c>
    </row>
    <row r="129" spans="2:8" ht="17" thickBot="1">
      <c r="B129" s="46" t="s">
        <v>62</v>
      </c>
      <c r="C129" s="47">
        <f>IF(C122 &gt; 60000, 20000, IF(C122 &gt; 40000, C122 - 40000, 0))</f>
        <v>0</v>
      </c>
      <c r="D129" s="48">
        <f t="shared" si="7"/>
        <v>0</v>
      </c>
      <c r="E129" s="49">
        <f t="shared" si="8"/>
        <v>0</v>
      </c>
      <c r="F129" s="50">
        <f t="shared" si="9"/>
        <v>0</v>
      </c>
      <c r="G129" s="49">
        <f t="shared" si="10"/>
        <v>0</v>
      </c>
      <c r="H129" s="51">
        <f t="shared" si="11"/>
        <v>0</v>
      </c>
    </row>
    <row r="130" spans="2:8" ht="17" thickBot="1">
      <c r="B130" s="58" t="s">
        <v>63</v>
      </c>
      <c r="C130" s="52">
        <f>IF(C122 &gt; 60000, C122 - 60000, 0)</f>
        <v>0</v>
      </c>
      <c r="D130" s="52">
        <f t="shared" si="7"/>
        <v>0</v>
      </c>
      <c r="E130" s="52">
        <f t="shared" si="8"/>
        <v>0</v>
      </c>
      <c r="F130" s="54">
        <f t="shared" si="9"/>
        <v>0</v>
      </c>
      <c r="G130" s="52">
        <f t="shared" si="10"/>
        <v>0</v>
      </c>
      <c r="H130" s="55">
        <f t="shared" si="11"/>
        <v>0</v>
      </c>
    </row>
    <row r="131" spans="2:8">
      <c r="B131" s="43"/>
      <c r="C131" s="43"/>
      <c r="D131" s="43"/>
      <c r="E131" s="43"/>
      <c r="F131" s="43"/>
      <c r="G131" s="43"/>
      <c r="H131" s="43"/>
    </row>
    <row r="132" spans="2:8">
      <c r="B132" s="30" t="s">
        <v>153</v>
      </c>
      <c r="C132" s="43"/>
      <c r="D132" s="45">
        <f>SUM(D125:D130)</f>
        <v>7788.3659649428819</v>
      </c>
      <c r="E132" s="45">
        <f>SUM(E125:E130)</f>
        <v>7388.3659649428819</v>
      </c>
      <c r="F132" s="45">
        <f>SUM(F125:F130)</f>
        <v>6988.3659649428819</v>
      </c>
      <c r="G132" s="45">
        <f t="shared" ref="G132:H132" si="12">SUM(G125:G130)</f>
        <v>6088.3659649428819</v>
      </c>
      <c r="H132" s="45">
        <f t="shared" si="12"/>
        <v>4088.3659649428819</v>
      </c>
    </row>
    <row r="133" spans="2:8">
      <c r="B133" s="30" t="s">
        <v>157</v>
      </c>
      <c r="C133" s="43"/>
      <c r="D133" s="45">
        <f>D132/17</f>
        <v>458.13917440840481</v>
      </c>
      <c r="E133" s="45">
        <f t="shared" ref="E133:F133" si="13">E132/17</f>
        <v>434.60976264369896</v>
      </c>
      <c r="F133" s="45">
        <f t="shared" si="13"/>
        <v>411.08035087899304</v>
      </c>
      <c r="G133" s="45">
        <f>G132/17</f>
        <v>358.13917440840481</v>
      </c>
      <c r="H133" s="45">
        <f>H132/17</f>
        <v>240.49211558487539</v>
      </c>
    </row>
    <row r="134" spans="2:8">
      <c r="B134" s="30"/>
      <c r="C134" s="43"/>
      <c r="D134" s="45"/>
      <c r="E134" s="45"/>
      <c r="F134" s="45"/>
      <c r="G134" s="45"/>
      <c r="H134" s="45"/>
    </row>
    <row r="135" spans="2:8">
      <c r="B135" s="30"/>
      <c r="C135" s="43"/>
      <c r="D135" s="45"/>
      <c r="E135" s="45"/>
      <c r="F135" s="45"/>
      <c r="G135" s="45"/>
      <c r="H135" s="45"/>
    </row>
    <row r="136" spans="2:8">
      <c r="B136" s="30"/>
      <c r="C136" s="43"/>
      <c r="D136" s="45"/>
      <c r="E136" s="45"/>
      <c r="F136" s="45"/>
      <c r="G136" s="45"/>
      <c r="H136" s="45"/>
    </row>
    <row r="137" spans="2:8">
      <c r="B137" s="30"/>
      <c r="C137" s="43"/>
      <c r="D137" s="45"/>
      <c r="E137" s="45"/>
      <c r="F137" s="45"/>
      <c r="G137" s="45"/>
      <c r="H137" s="45"/>
    </row>
    <row r="138" spans="2:8">
      <c r="D138" s="45"/>
      <c r="E138" s="45"/>
      <c r="F138" s="45"/>
      <c r="G138" s="45"/>
      <c r="H138" s="45"/>
    </row>
    <row r="139" spans="2:8" ht="17" thickBot="1">
      <c r="B139" s="73" t="s">
        <v>154</v>
      </c>
      <c r="C139" s="45">
        <f>E219*17</f>
        <v>43792.165083440763</v>
      </c>
      <c r="D139" s="45"/>
      <c r="E139" s="45"/>
      <c r="F139" s="45"/>
      <c r="G139" s="45"/>
      <c r="H139" s="45"/>
    </row>
    <row r="140" spans="2:8" ht="17" thickBot="1">
      <c r="B140" s="43"/>
      <c r="C140" s="43"/>
      <c r="D140" s="102" t="s">
        <v>69</v>
      </c>
      <c r="E140" s="103"/>
      <c r="F140" s="103"/>
      <c r="G140" s="103"/>
      <c r="H140" s="104"/>
    </row>
    <row r="141" spans="2:8" ht="17" thickBot="1">
      <c r="B141" s="102" t="s">
        <v>155</v>
      </c>
      <c r="C141" s="104"/>
      <c r="D141" s="35" t="s">
        <v>53</v>
      </c>
      <c r="E141" s="36" t="s">
        <v>54</v>
      </c>
      <c r="F141" s="35" t="s">
        <v>55</v>
      </c>
      <c r="G141" s="36" t="s">
        <v>56</v>
      </c>
      <c r="H141" s="36" t="s">
        <v>57</v>
      </c>
    </row>
    <row r="142" spans="2:8" ht="17" thickBot="1">
      <c r="B142" s="46" t="s">
        <v>58</v>
      </c>
      <c r="C142" s="47">
        <f>IF((C139-0)&lt;=10000, C139-0,10000)</f>
        <v>10000</v>
      </c>
      <c r="D142" s="48">
        <f t="shared" ref="D142:D147" si="14">IF(C142&gt;0,C142*D94,0)</f>
        <v>900</v>
      </c>
      <c r="E142" s="49">
        <f t="shared" ref="E142:E147" si="15">IF(C142&gt;0,C142*E94,0)</f>
        <v>900</v>
      </c>
      <c r="F142" s="50">
        <f t="shared" ref="F142:F147" si="16">IF(C142&gt;0,C142*F94,0)</f>
        <v>900</v>
      </c>
      <c r="G142" s="49">
        <f t="shared" ref="G142:G147" si="17">IF(C142&gt;0,C142*G94,0)</f>
        <v>900</v>
      </c>
      <c r="H142" s="51">
        <f t="shared" ref="H142:H147" si="18">IF(C142&gt;0,C142*H94,0)</f>
        <v>0</v>
      </c>
    </row>
    <row r="143" spans="2:8" ht="17" thickBot="1">
      <c r="B143" s="46" t="s">
        <v>59</v>
      </c>
      <c r="C143" s="52">
        <f>IF(C139 &gt; 20000, 10000, IF(C139 &gt; 10000, C139 - 10000, 0))</f>
        <v>10000</v>
      </c>
      <c r="D143" s="48">
        <f t="shared" si="14"/>
        <v>2000</v>
      </c>
      <c r="E143" s="48">
        <f t="shared" si="15"/>
        <v>1800</v>
      </c>
      <c r="F143" s="48">
        <f t="shared" si="16"/>
        <v>1600</v>
      </c>
      <c r="G143" s="48">
        <f t="shared" si="17"/>
        <v>900</v>
      </c>
      <c r="H143" s="52">
        <f t="shared" si="18"/>
        <v>0</v>
      </c>
    </row>
    <row r="144" spans="2:8" ht="17" thickBot="1">
      <c r="B144" s="46" t="s">
        <v>60</v>
      </c>
      <c r="C144" s="47">
        <f>IF(C139 &gt; 30000, 10000, IF(C139 &gt; 20000, C139 - 20000, 0))</f>
        <v>10000</v>
      </c>
      <c r="D144" s="48">
        <f t="shared" si="14"/>
        <v>2600</v>
      </c>
      <c r="E144" s="49">
        <f t="shared" si="15"/>
        <v>2400</v>
      </c>
      <c r="F144" s="50">
        <f t="shared" si="16"/>
        <v>2200</v>
      </c>
      <c r="G144" s="49">
        <f t="shared" si="17"/>
        <v>2000</v>
      </c>
      <c r="H144" s="51">
        <f t="shared" si="18"/>
        <v>1800</v>
      </c>
    </row>
    <row r="145" spans="2:8" ht="17" thickBot="1">
      <c r="B145" s="46" t="s">
        <v>61</v>
      </c>
      <c r="C145" s="52">
        <f>IF(C139 &gt; 40000, 10000, IF(C139 &gt; 30000, C139 - 30000, 0))</f>
        <v>10000</v>
      </c>
      <c r="D145" s="48">
        <f t="shared" si="14"/>
        <v>3400.0000000000005</v>
      </c>
      <c r="E145" s="49">
        <f t="shared" si="15"/>
        <v>3400.0000000000005</v>
      </c>
      <c r="F145" s="50">
        <f t="shared" si="16"/>
        <v>3400.0000000000005</v>
      </c>
      <c r="G145" s="49">
        <f t="shared" si="17"/>
        <v>3400.0000000000005</v>
      </c>
      <c r="H145" s="51">
        <f t="shared" si="18"/>
        <v>3400.0000000000005</v>
      </c>
    </row>
    <row r="146" spans="2:8" ht="17" thickBot="1">
      <c r="B146" s="46" t="s">
        <v>62</v>
      </c>
      <c r="C146" s="47">
        <f>IF(C139 &gt; 60000, 20000, IF(C139 &gt; 40000, C139 - 40000, 0))</f>
        <v>3792.1650834407628</v>
      </c>
      <c r="D146" s="48">
        <f t="shared" si="14"/>
        <v>1478.9443825418975</v>
      </c>
      <c r="E146" s="49">
        <f t="shared" si="15"/>
        <v>1478.9443825418975</v>
      </c>
      <c r="F146" s="50">
        <f t="shared" si="16"/>
        <v>1478.9443825418975</v>
      </c>
      <c r="G146" s="49">
        <f t="shared" si="17"/>
        <v>1478.9443825418975</v>
      </c>
      <c r="H146" s="51">
        <f t="shared" si="18"/>
        <v>1478.9443825418975</v>
      </c>
    </row>
    <row r="147" spans="2:8" ht="17" thickBot="1">
      <c r="B147" s="58" t="s">
        <v>63</v>
      </c>
      <c r="C147" s="52">
        <f>IF(C139 &gt; 60000, C139 - 60000, 0)</f>
        <v>0</v>
      </c>
      <c r="D147" s="52">
        <f t="shared" si="14"/>
        <v>0</v>
      </c>
      <c r="E147" s="52">
        <f t="shared" si="15"/>
        <v>0</v>
      </c>
      <c r="F147" s="54">
        <f t="shared" si="16"/>
        <v>0</v>
      </c>
      <c r="G147" s="52">
        <f t="shared" si="17"/>
        <v>0</v>
      </c>
      <c r="H147" s="55">
        <f t="shared" si="18"/>
        <v>0</v>
      </c>
    </row>
    <row r="148" spans="2:8">
      <c r="B148" s="43"/>
      <c r="C148" s="43"/>
      <c r="D148" s="43"/>
      <c r="E148" s="43"/>
      <c r="F148" s="43"/>
      <c r="G148" s="43"/>
      <c r="H148" s="43"/>
    </row>
    <row r="149" spans="2:8">
      <c r="B149" s="30" t="s">
        <v>156</v>
      </c>
      <c r="C149" s="43"/>
      <c r="D149" s="45">
        <f>SUM(D142:D147)</f>
        <v>10378.944382541897</v>
      </c>
      <c r="E149" s="45">
        <f>SUM(E142:E147)</f>
        <v>9978.9443825418966</v>
      </c>
      <c r="F149" s="45">
        <f>SUM(F142:F147)</f>
        <v>9578.9443825418966</v>
      </c>
      <c r="G149" s="45">
        <f t="shared" ref="G149:H149" si="19">SUM(G142:G147)</f>
        <v>8678.9443825418966</v>
      </c>
      <c r="H149" s="45">
        <f t="shared" si="19"/>
        <v>6678.9443825418975</v>
      </c>
    </row>
    <row r="150" spans="2:8">
      <c r="B150" s="30" t="s">
        <v>158</v>
      </c>
      <c r="C150" s="43"/>
      <c r="D150" s="45">
        <f>D149/17</f>
        <v>610.52614014952337</v>
      </c>
      <c r="E150" s="45">
        <f t="shared" ref="E150:F150" si="20">E149/17</f>
        <v>586.9967283848174</v>
      </c>
      <c r="F150" s="45">
        <f t="shared" si="20"/>
        <v>563.46731662011155</v>
      </c>
      <c r="G150" s="45">
        <f>G149/17</f>
        <v>510.52614014952331</v>
      </c>
      <c r="H150" s="45">
        <f>H149/17</f>
        <v>392.87908132599398</v>
      </c>
    </row>
    <row r="151" spans="2:8">
      <c r="B151" s="30"/>
      <c r="C151" s="43"/>
      <c r="D151" s="45"/>
      <c r="E151" s="45"/>
      <c r="F151" s="45"/>
      <c r="G151" s="45"/>
      <c r="H151" s="45"/>
    </row>
    <row r="152" spans="2:8">
      <c r="B152" s="30"/>
      <c r="C152" s="43"/>
      <c r="D152" s="45"/>
      <c r="E152" s="45"/>
      <c r="F152" s="45"/>
      <c r="G152" s="45"/>
      <c r="H152" s="45"/>
    </row>
    <row r="153" spans="2:8">
      <c r="B153" s="30"/>
      <c r="C153" s="43"/>
      <c r="D153" s="45"/>
      <c r="E153" s="45"/>
      <c r="F153" s="45"/>
      <c r="G153" s="45"/>
      <c r="H153" s="45"/>
    </row>
    <row r="154" spans="2:8">
      <c r="B154" s="30"/>
      <c r="C154" s="43"/>
      <c r="D154" s="45"/>
      <c r="E154" s="45"/>
      <c r="F154" s="45"/>
      <c r="G154" s="45"/>
      <c r="H154" s="45"/>
    </row>
    <row r="155" spans="2:8">
      <c r="D155" s="45"/>
      <c r="E155" s="45"/>
      <c r="F155" s="45"/>
      <c r="G155" s="45"/>
      <c r="H155" s="45"/>
    </row>
    <row r="156" spans="2:8" ht="17" thickBot="1">
      <c r="B156" s="73" t="s">
        <v>160</v>
      </c>
      <c r="C156" s="45">
        <f>E239*17</f>
        <v>73460.976264369892</v>
      </c>
      <c r="D156" s="45"/>
      <c r="E156" s="45"/>
      <c r="F156" s="45"/>
      <c r="G156" s="45"/>
      <c r="H156" s="45"/>
    </row>
    <row r="157" spans="2:8" ht="17" thickBot="1">
      <c r="B157" s="43"/>
      <c r="C157" s="43"/>
      <c r="D157" s="102" t="s">
        <v>69</v>
      </c>
      <c r="E157" s="103"/>
      <c r="F157" s="103"/>
      <c r="G157" s="103"/>
      <c r="H157" s="104"/>
    </row>
    <row r="158" spans="2:8" ht="17" thickBot="1">
      <c r="B158" s="102" t="s">
        <v>161</v>
      </c>
      <c r="C158" s="104"/>
      <c r="D158" s="35" t="s">
        <v>53</v>
      </c>
      <c r="E158" s="36" t="s">
        <v>54</v>
      </c>
      <c r="F158" s="35" t="s">
        <v>55</v>
      </c>
      <c r="G158" s="36" t="s">
        <v>56</v>
      </c>
      <c r="H158" s="36" t="s">
        <v>57</v>
      </c>
    </row>
    <row r="159" spans="2:8" ht="17" thickBot="1">
      <c r="B159" s="46" t="s">
        <v>58</v>
      </c>
      <c r="C159" s="47">
        <f>IF((C156-0)&lt;=10000, C156-0,10000)</f>
        <v>10000</v>
      </c>
      <c r="D159" s="48">
        <f t="shared" ref="D159:D164" si="21">IF(C159&gt;0,C159*D94,0)</f>
        <v>900</v>
      </c>
      <c r="E159" s="49">
        <f t="shared" ref="E159:E164" si="22">IF(C159&gt;0,C159*E94,0)</f>
        <v>900</v>
      </c>
      <c r="F159" s="50">
        <f t="shared" ref="F159:F164" si="23">IF(C159&gt;0,C159*F94,0)</f>
        <v>900</v>
      </c>
      <c r="G159" s="49">
        <f t="shared" ref="G159:G164" si="24">IF(C159&gt;0,C159*G94,0)</f>
        <v>900</v>
      </c>
      <c r="H159" s="51">
        <f t="shared" ref="H159:H164" si="25">IF(C159&gt;0,C159*H94,0)</f>
        <v>0</v>
      </c>
    </row>
    <row r="160" spans="2:8" ht="17" thickBot="1">
      <c r="B160" s="46" t="s">
        <v>59</v>
      </c>
      <c r="C160" s="52">
        <f>IF(C156 &gt; 20000, 10000, IF(C156 &gt; 10000, C156 - 10000, 0))</f>
        <v>10000</v>
      </c>
      <c r="D160" s="48">
        <f t="shared" si="21"/>
        <v>2000</v>
      </c>
      <c r="E160" s="49">
        <f t="shared" si="22"/>
        <v>1800</v>
      </c>
      <c r="F160" s="50">
        <f t="shared" si="23"/>
        <v>1600</v>
      </c>
      <c r="G160" s="49">
        <f t="shared" si="24"/>
        <v>900</v>
      </c>
      <c r="H160" s="51">
        <f t="shared" si="25"/>
        <v>0</v>
      </c>
    </row>
    <row r="161" spans="2:8" ht="17" thickBot="1">
      <c r="B161" s="46" t="s">
        <v>60</v>
      </c>
      <c r="C161" s="47">
        <f>IF(C156 &gt; 30000, 10000, IF(C156 &gt; 20000, C156 - 20000, 0))</f>
        <v>10000</v>
      </c>
      <c r="D161" s="48">
        <f t="shared" si="21"/>
        <v>2600</v>
      </c>
      <c r="E161" s="49">
        <f t="shared" si="22"/>
        <v>2400</v>
      </c>
      <c r="F161" s="50">
        <f t="shared" si="23"/>
        <v>2200</v>
      </c>
      <c r="G161" s="49">
        <f t="shared" si="24"/>
        <v>2000</v>
      </c>
      <c r="H161" s="51">
        <f t="shared" si="25"/>
        <v>1800</v>
      </c>
    </row>
    <row r="162" spans="2:8" ht="17" thickBot="1">
      <c r="B162" s="46" t="s">
        <v>61</v>
      </c>
      <c r="C162" s="52">
        <f>IF(C156 &gt; 40000, 10000, IF(C156 &gt; 30000, C156 - 30000, 0))</f>
        <v>10000</v>
      </c>
      <c r="D162" s="48">
        <f t="shared" si="21"/>
        <v>3400.0000000000005</v>
      </c>
      <c r="E162" s="49">
        <f t="shared" si="22"/>
        <v>3400.0000000000005</v>
      </c>
      <c r="F162" s="50">
        <f t="shared" si="23"/>
        <v>3400.0000000000005</v>
      </c>
      <c r="G162" s="49">
        <f t="shared" si="24"/>
        <v>3400.0000000000005</v>
      </c>
      <c r="H162" s="51">
        <f t="shared" si="25"/>
        <v>3400.0000000000005</v>
      </c>
    </row>
    <row r="163" spans="2:8" ht="17" thickBot="1">
      <c r="B163" s="46" t="s">
        <v>62</v>
      </c>
      <c r="C163" s="47">
        <f>IF(C156 &gt; 60000, 20000, IF(C156 &gt; 40000, C156 - 40000, 0))</f>
        <v>20000</v>
      </c>
      <c r="D163" s="48">
        <f t="shared" si="21"/>
        <v>7800</v>
      </c>
      <c r="E163" s="49">
        <f t="shared" si="22"/>
        <v>7800</v>
      </c>
      <c r="F163" s="50">
        <f t="shared" si="23"/>
        <v>7800</v>
      </c>
      <c r="G163" s="49">
        <f t="shared" si="24"/>
        <v>7800</v>
      </c>
      <c r="H163" s="51">
        <f t="shared" si="25"/>
        <v>7800</v>
      </c>
    </row>
    <row r="164" spans="2:8" ht="17" thickBot="1">
      <c r="B164" s="58" t="s">
        <v>63</v>
      </c>
      <c r="C164" s="52">
        <f>IF(C156 &gt; 60000, C156 - 60000, 0)</f>
        <v>13460.976264369892</v>
      </c>
      <c r="D164" s="53">
        <f t="shared" si="21"/>
        <v>5922.829556322753</v>
      </c>
      <c r="E164" s="52">
        <f t="shared" si="22"/>
        <v>5922.829556322753</v>
      </c>
      <c r="F164" s="54">
        <f t="shared" si="23"/>
        <v>5922.829556322753</v>
      </c>
      <c r="G164" s="52">
        <f t="shared" si="24"/>
        <v>5922.829556322753</v>
      </c>
      <c r="H164" s="55">
        <f t="shared" si="25"/>
        <v>5922.829556322753</v>
      </c>
    </row>
    <row r="165" spans="2:8">
      <c r="B165" s="43"/>
      <c r="C165" s="43"/>
      <c r="D165" s="43"/>
      <c r="E165" s="43"/>
      <c r="F165" s="43"/>
      <c r="G165" s="43"/>
      <c r="H165" s="43"/>
    </row>
    <row r="166" spans="2:8">
      <c r="B166" s="30" t="s">
        <v>162</v>
      </c>
      <c r="C166" s="43"/>
      <c r="D166" s="45">
        <f>SUM(D159:D164)</f>
        <v>22622.829556322751</v>
      </c>
      <c r="E166" s="45">
        <f>SUM(E159:E164)</f>
        <v>22222.829556322751</v>
      </c>
      <c r="F166" s="45">
        <f>SUM(F159:F164)</f>
        <v>21822.829556322751</v>
      </c>
      <c r="G166" s="45">
        <f t="shared" ref="G166:H166" si="26">SUM(G159:G164)</f>
        <v>20922.829556322751</v>
      </c>
      <c r="H166" s="45">
        <f t="shared" si="26"/>
        <v>18922.829556322751</v>
      </c>
    </row>
    <row r="167" spans="2:8">
      <c r="B167" s="30" t="s">
        <v>163</v>
      </c>
      <c r="C167" s="43"/>
      <c r="D167" s="45">
        <f>D166/17</f>
        <v>1330.7546797836912</v>
      </c>
      <c r="E167" s="45">
        <f t="shared" ref="E167:F167" si="27">E166/17</f>
        <v>1307.2252680189854</v>
      </c>
      <c r="F167" s="45">
        <f t="shared" si="27"/>
        <v>1283.6958562542795</v>
      </c>
      <c r="G167" s="45">
        <f>G166/17</f>
        <v>1230.7546797836912</v>
      </c>
      <c r="H167" s="45">
        <f>H166/17</f>
        <v>1113.1076209601617</v>
      </c>
    </row>
    <row r="168" spans="2:8">
      <c r="B168" s="30"/>
      <c r="C168" s="43"/>
      <c r="D168" s="45"/>
      <c r="E168" s="45"/>
      <c r="F168" s="45"/>
      <c r="G168" s="45"/>
      <c r="H168" s="45"/>
    </row>
    <row r="169" spans="2:8">
      <c r="B169" s="43"/>
      <c r="C169" s="43"/>
      <c r="D169" s="43"/>
      <c r="E169" s="43"/>
      <c r="F169" s="43"/>
      <c r="G169" s="43"/>
      <c r="H169" s="43"/>
    </row>
    <row r="171" spans="2:8" ht="19">
      <c r="B171" s="119"/>
      <c r="C171" s="119"/>
      <c r="D171" s="119"/>
      <c r="E171" s="119"/>
      <c r="F171" s="119"/>
      <c r="G171" s="119"/>
      <c r="H171" s="119"/>
    </row>
    <row r="175" spans="2:8">
      <c r="B175" t="s">
        <v>33</v>
      </c>
      <c r="C175" s="101" t="s">
        <v>38</v>
      </c>
      <c r="D175" s="1">
        <f>E14/162.5</f>
        <v>15.437648726153846</v>
      </c>
      <c r="F175" t="s">
        <v>80</v>
      </c>
    </row>
    <row r="176" spans="2:8">
      <c r="B176" t="s">
        <v>34</v>
      </c>
      <c r="C176" s="101"/>
      <c r="D176" s="1">
        <f>D175*6.5</f>
        <v>100.34471671999999</v>
      </c>
      <c r="E176" s="10"/>
      <c r="F176" t="s">
        <v>83</v>
      </c>
    </row>
    <row r="177" spans="2:8">
      <c r="B177" t="s">
        <v>77</v>
      </c>
      <c r="C177" s="101"/>
      <c r="D177" s="1">
        <f>(E14+E21+E22)/D17</f>
        <v>16.716052566153845</v>
      </c>
      <c r="F177" t="s">
        <v>167</v>
      </c>
    </row>
    <row r="178" spans="2:8">
      <c r="C178" s="101"/>
    </row>
    <row r="179" spans="2:8">
      <c r="B179" t="s">
        <v>120</v>
      </c>
      <c r="C179" s="2" t="s">
        <v>14</v>
      </c>
      <c r="D179">
        <f>(G19*12.5)/25</f>
        <v>81.25</v>
      </c>
    </row>
    <row r="180" spans="2:8">
      <c r="B180" t="s">
        <v>122</v>
      </c>
      <c r="C180" s="2" t="s">
        <v>14</v>
      </c>
      <c r="D180">
        <f>(G19*15.5)/25</f>
        <v>100.75</v>
      </c>
    </row>
    <row r="181" spans="2:8">
      <c r="C181" s="2"/>
    </row>
    <row r="182" spans="2:8">
      <c r="B182" t="s">
        <v>133</v>
      </c>
      <c r="C182" s="2"/>
      <c r="D182" s="34">
        <v>5.4</v>
      </c>
      <c r="E182" s="67">
        <f>G19/6.66*D182</f>
        <v>131.75675675675677</v>
      </c>
    </row>
    <row r="183" spans="2:8">
      <c r="B183" t="s">
        <v>143</v>
      </c>
      <c r="C183" s="2"/>
      <c r="D183" s="68" t="s">
        <v>134</v>
      </c>
      <c r="E183" s="70">
        <v>0.22339999999999999</v>
      </c>
    </row>
    <row r="184" spans="2:8">
      <c r="B184" t="s">
        <v>144</v>
      </c>
      <c r="C184" s="2"/>
      <c r="D184" s="68" t="s">
        <v>134</v>
      </c>
      <c r="E184" s="16">
        <v>0.18770000000000001</v>
      </c>
    </row>
    <row r="185" spans="2:8">
      <c r="B185" t="s">
        <v>145</v>
      </c>
      <c r="C185" s="2"/>
      <c r="D185" s="68" t="s">
        <v>134</v>
      </c>
      <c r="E185" s="16">
        <v>0.1081</v>
      </c>
    </row>
    <row r="186" spans="2:8">
      <c r="B186" t="s">
        <v>146</v>
      </c>
      <c r="C186" s="2"/>
      <c r="D186" s="68" t="s">
        <v>134</v>
      </c>
      <c r="E186" s="16">
        <v>0.183</v>
      </c>
    </row>
    <row r="187" spans="2:8">
      <c r="C187" s="2"/>
    </row>
    <row r="190" spans="2:8" ht="19">
      <c r="B190" s="119"/>
      <c r="C190" s="119"/>
      <c r="D190" s="119"/>
      <c r="E190" s="119"/>
      <c r="F190" s="119"/>
      <c r="G190" s="119"/>
      <c r="H190" s="119"/>
    </row>
    <row r="193" spans="1:10">
      <c r="A193" s="26"/>
      <c r="B193" s="77" t="s">
        <v>119</v>
      </c>
      <c r="E193" s="45">
        <f>D176*12.5</f>
        <v>1254.308959</v>
      </c>
    </row>
    <row r="194" spans="1:10" ht="15.75" customHeight="1">
      <c r="A194" s="26"/>
      <c r="B194" s="63" t="s">
        <v>164</v>
      </c>
      <c r="E194" s="78">
        <f>E193*0.1259</f>
        <v>157.91749793810001</v>
      </c>
      <c r="F194" s="68"/>
      <c r="G194" s="72"/>
      <c r="H194" s="72"/>
      <c r="I194" s="72"/>
      <c r="J194" s="72"/>
    </row>
    <row r="195" spans="1:10">
      <c r="A195" s="26"/>
      <c r="B195" s="43" t="s">
        <v>118</v>
      </c>
      <c r="E195" s="1">
        <f>(E24*D179)/G19</f>
        <v>495.45203880500003</v>
      </c>
      <c r="F195" s="1"/>
      <c r="G195" s="72"/>
      <c r="H195" s="72"/>
      <c r="I195" s="72"/>
      <c r="J195" s="72"/>
    </row>
    <row r="196" spans="1:10">
      <c r="A196" s="26"/>
      <c r="B196" s="63" t="s">
        <v>126</v>
      </c>
      <c r="E196" s="1">
        <f>E182*D179/G19</f>
        <v>65.878378378378386</v>
      </c>
      <c r="G196" s="72"/>
    </row>
    <row r="197" spans="1:10">
      <c r="A197" s="26"/>
      <c r="B197" t="s">
        <v>165</v>
      </c>
      <c r="E197" s="1">
        <f>E21*D179/G19</f>
        <v>89.195311999999987</v>
      </c>
      <c r="G197" s="72"/>
    </row>
    <row r="198" spans="1:10" ht="15.75" customHeight="1">
      <c r="A198" s="26"/>
      <c r="B198" t="s">
        <v>121</v>
      </c>
      <c r="E198" s="1">
        <f>E22*D179/G19</f>
        <v>14.675000000000001</v>
      </c>
    </row>
    <row r="199" spans="1:10" ht="15.75" customHeight="1">
      <c r="A199" s="26"/>
      <c r="B199" t="s">
        <v>135</v>
      </c>
      <c r="D199" s="68" t="s">
        <v>134</v>
      </c>
      <c r="E199" s="1"/>
    </row>
    <row r="200" spans="1:10" ht="15.75" customHeight="1">
      <c r="A200" s="26"/>
      <c r="B200" t="s">
        <v>136</v>
      </c>
      <c r="E200" s="1">
        <f>E193*0.04166</f>
        <v>52.25451123194</v>
      </c>
    </row>
    <row r="201" spans="1:10" ht="15.75" customHeight="1">
      <c r="A201" s="26"/>
      <c r="B201" t="s">
        <v>137</v>
      </c>
      <c r="D201" s="68" t="s">
        <v>134</v>
      </c>
      <c r="E201" s="78">
        <f>E195*0.04166</f>
        <v>20.640531936616302</v>
      </c>
    </row>
    <row r="202" spans="1:10" ht="15.75" customHeight="1">
      <c r="A202" s="26"/>
      <c r="B202" t="s">
        <v>138</v>
      </c>
      <c r="D202" s="68" t="s">
        <v>134</v>
      </c>
      <c r="E202" s="78">
        <f>(E194+E197)*0.04166</f>
        <v>10.294719662021246</v>
      </c>
    </row>
    <row r="203" spans="1:10" ht="15.75" customHeight="1">
      <c r="A203" s="69"/>
      <c r="E203" s="33">
        <f>SUM(E193:E202)</f>
        <v>2160.6169489520557</v>
      </c>
    </row>
    <row r="204" spans="1:10" ht="15.75" customHeight="1">
      <c r="A204" s="14"/>
      <c r="B204" t="s">
        <v>17</v>
      </c>
      <c r="D204" s="68" t="s">
        <v>134</v>
      </c>
      <c r="E204" s="78">
        <f>E203*0.1682</f>
        <v>363.41577081373578</v>
      </c>
    </row>
    <row r="205" spans="1:10">
      <c r="A205" s="14"/>
      <c r="B205" t="s">
        <v>28</v>
      </c>
      <c r="E205" s="1">
        <f>IF(D22=0,D133)+IF(D22=1,E133)+IF(D22=2,F133)+IF(D22=3,G133)*IF(D22=4,H133)</f>
        <v>434.60976264369896</v>
      </c>
    </row>
    <row r="206" spans="1:10">
      <c r="A206" s="14"/>
      <c r="B206" t="s">
        <v>148</v>
      </c>
      <c r="E206" s="1">
        <f>(E66*D179)/G19</f>
        <v>153.92078263279751</v>
      </c>
    </row>
    <row r="207" spans="1:10">
      <c r="E207" s="71">
        <f>SUM(E204:E206)</f>
        <v>951.94631609023213</v>
      </c>
    </row>
    <row r="209" spans="1:8">
      <c r="B209" s="76" t="s">
        <v>119</v>
      </c>
      <c r="C209" s="24"/>
      <c r="D209" s="24"/>
      <c r="E209" s="75">
        <f>E203-E207</f>
        <v>1208.6706328618236</v>
      </c>
      <c r="F209" s="75"/>
    </row>
    <row r="212" spans="1:8" ht="16" customHeight="1">
      <c r="G212" s="121" t="s">
        <v>152</v>
      </c>
      <c r="H212" s="121"/>
    </row>
    <row r="213" spans="1:8">
      <c r="A213" s="26"/>
      <c r="B213" s="77" t="s">
        <v>123</v>
      </c>
      <c r="E213" s="1">
        <f>D175*D180</f>
        <v>1555.34310916</v>
      </c>
      <c r="G213" s="121"/>
      <c r="H213" s="121"/>
    </row>
    <row r="214" spans="1:8" ht="16" customHeight="1">
      <c r="A214" s="26"/>
      <c r="B214" s="63" t="s">
        <v>147</v>
      </c>
      <c r="D214" s="68" t="s">
        <v>134</v>
      </c>
      <c r="E214" s="79">
        <f>E213*0.1259</f>
        <v>195.81769744324401</v>
      </c>
      <c r="G214" s="121"/>
      <c r="H214" s="121"/>
    </row>
    <row r="215" spans="1:8">
      <c r="A215" s="26"/>
      <c r="B215" t="s">
        <v>124</v>
      </c>
      <c r="E215" s="1">
        <f>(E24*D180)/G19</f>
        <v>614.36052811820002</v>
      </c>
      <c r="F215" s="72"/>
      <c r="G215" s="121"/>
      <c r="H215" s="121"/>
    </row>
    <row r="216" spans="1:8">
      <c r="A216" s="26"/>
      <c r="B216" s="63" t="s">
        <v>125</v>
      </c>
      <c r="E216" s="1">
        <f>E182*D180/G19</f>
        <v>81.689189189189207</v>
      </c>
      <c r="F216" s="72"/>
      <c r="G216" s="121"/>
      <c r="H216" s="121"/>
    </row>
    <row r="217" spans="1:8">
      <c r="A217" s="26"/>
      <c r="B217" t="s">
        <v>127</v>
      </c>
      <c r="E217" s="1">
        <f>E21*D180/G19</f>
        <v>110.60218687999998</v>
      </c>
      <c r="F217" s="72"/>
      <c r="G217" s="72"/>
      <c r="H217" s="72"/>
    </row>
    <row r="218" spans="1:8">
      <c r="A218" s="26"/>
      <c r="B218" t="s">
        <v>128</v>
      </c>
      <c r="E218" s="67">
        <f>E22*D180/G19</f>
        <v>18.197000000000003</v>
      </c>
    </row>
    <row r="219" spans="1:8">
      <c r="E219" s="28">
        <f>SUM(E213:E218)</f>
        <v>2576.0097107906331</v>
      </c>
    </row>
    <row r="220" spans="1:8">
      <c r="A220" s="14"/>
      <c r="B220" t="s">
        <v>17</v>
      </c>
      <c r="D220" s="68" t="s">
        <v>134</v>
      </c>
      <c r="E220" s="78">
        <f>E219*0.1682</f>
        <v>433.28483335498447</v>
      </c>
    </row>
    <row r="221" spans="1:8">
      <c r="A221" s="14"/>
      <c r="B221" t="s">
        <v>28</v>
      </c>
      <c r="E221" s="1">
        <f>IF(D22=0,D150)+IF(D22=1,E150)+IF(D22=2,F150)+IF(D22=3,G150)*IF(D22=4,H150)</f>
        <v>586.9967283848174</v>
      </c>
    </row>
    <row r="222" spans="1:8">
      <c r="A222" s="14"/>
      <c r="B222" t="s">
        <v>148</v>
      </c>
      <c r="E222" s="1">
        <f>(E66*D180)/G19</f>
        <v>190.86177046466892</v>
      </c>
    </row>
    <row r="223" spans="1:8">
      <c r="E223" s="15">
        <f>SUM(E220:E222)</f>
        <v>1211.1433322044709</v>
      </c>
    </row>
    <row r="224" spans="1:8">
      <c r="E224" s="1"/>
    </row>
    <row r="225" spans="1:6">
      <c r="B225" s="76" t="s">
        <v>123</v>
      </c>
      <c r="C225" s="76"/>
      <c r="D225" s="24"/>
      <c r="E225" s="75">
        <f>E219-E223</f>
        <v>1364.8663785861622</v>
      </c>
      <c r="F225" s="75"/>
    </row>
    <row r="229" spans="1:6">
      <c r="A229" s="26"/>
      <c r="B229" s="77" t="s">
        <v>129</v>
      </c>
      <c r="E229" s="1">
        <f>D175*G19</f>
        <v>2508.6179179999999</v>
      </c>
    </row>
    <row r="230" spans="1:6">
      <c r="A230" s="26"/>
      <c r="B230" s="63" t="s">
        <v>130</v>
      </c>
      <c r="D230" s="68" t="s">
        <v>134</v>
      </c>
      <c r="E230" s="78">
        <f>E229*0.1259</f>
        <v>315.83499587620003</v>
      </c>
    </row>
    <row r="231" spans="1:6">
      <c r="A231" s="26"/>
      <c r="B231" t="s">
        <v>131</v>
      </c>
      <c r="E231" s="1">
        <f>(E24*G19)/G19</f>
        <v>990.90407761000006</v>
      </c>
    </row>
    <row r="232" spans="1:6">
      <c r="A232" s="26"/>
      <c r="B232" s="63" t="s">
        <v>132</v>
      </c>
      <c r="E232" s="1">
        <f>E182</f>
        <v>131.75675675675677</v>
      </c>
    </row>
    <row r="233" spans="1:6">
      <c r="A233" s="26"/>
      <c r="B233" t="s">
        <v>166</v>
      </c>
      <c r="E233" s="1">
        <f>E21*G19/G19</f>
        <v>178.39062399999997</v>
      </c>
    </row>
    <row r="234" spans="1:6">
      <c r="A234" s="26"/>
      <c r="B234" t="s">
        <v>121</v>
      </c>
      <c r="E234">
        <f>E22*G19/G19</f>
        <v>29.35</v>
      </c>
    </row>
    <row r="235" spans="1:6">
      <c r="A235" s="26"/>
      <c r="B235" t="s">
        <v>139</v>
      </c>
      <c r="D235" s="68" t="s">
        <v>134</v>
      </c>
    </row>
    <row r="236" spans="1:6">
      <c r="A236" s="26"/>
      <c r="B236" t="s">
        <v>140</v>
      </c>
      <c r="D236" s="68" t="s">
        <v>134</v>
      </c>
      <c r="E236" s="1">
        <f>E229*0.04166</f>
        <v>104.50902246388</v>
      </c>
    </row>
    <row r="237" spans="1:6">
      <c r="A237" s="26"/>
      <c r="B237" t="s">
        <v>141</v>
      </c>
      <c r="E237" s="1">
        <f>E231*0.04166</f>
        <v>41.281063873232604</v>
      </c>
    </row>
    <row r="238" spans="1:6">
      <c r="A238" s="26"/>
      <c r="B238" t="s">
        <v>142</v>
      </c>
      <c r="E238" s="1">
        <f>(E230+E233)*0.04166</f>
        <v>20.589439324042491</v>
      </c>
    </row>
    <row r="239" spans="1:6">
      <c r="E239" s="28">
        <f>SUM(E229:E238)</f>
        <v>4321.2338979041115</v>
      </c>
    </row>
    <row r="240" spans="1:6">
      <c r="A240" s="14"/>
      <c r="B240" t="s">
        <v>17</v>
      </c>
      <c r="D240" s="68" t="s">
        <v>134</v>
      </c>
      <c r="E240" s="78">
        <f>E239*0.1682</f>
        <v>726.83154162747155</v>
      </c>
    </row>
    <row r="241" spans="1:8">
      <c r="A241" s="14"/>
      <c r="B241" t="s">
        <v>28</v>
      </c>
      <c r="E241" s="1">
        <f>IF(D22=0,D167)+IF(D22=1,E167)+IF(D22=2,F167)+IF(D22=3,G167)*IF(D22=4,H167)</f>
        <v>1307.2252680189854</v>
      </c>
    </row>
    <row r="242" spans="1:8">
      <c r="A242" s="14"/>
      <c r="B242" t="s">
        <v>148</v>
      </c>
      <c r="E242" s="1">
        <f>E66</f>
        <v>307.84156526559502</v>
      </c>
    </row>
    <row r="243" spans="1:8">
      <c r="E243" s="15">
        <f>SUM(E240:E242)</f>
        <v>2341.8983749120521</v>
      </c>
    </row>
    <row r="245" spans="1:8">
      <c r="B245" s="25" t="s">
        <v>129</v>
      </c>
      <c r="C245" s="24"/>
      <c r="D245" s="24"/>
      <c r="E245" s="75">
        <f>E239-E243</f>
        <v>1979.3355229920594</v>
      </c>
      <c r="F245" s="75"/>
    </row>
    <row r="250" spans="1:8" ht="19">
      <c r="B250" s="119" t="s">
        <v>0</v>
      </c>
      <c r="C250" s="119"/>
      <c r="D250" s="119"/>
      <c r="E250" s="119"/>
      <c r="F250" s="119"/>
      <c r="G250" s="119"/>
      <c r="H250" s="119"/>
    </row>
    <row r="252" spans="1:8">
      <c r="D252" s="42">
        <v>2025</v>
      </c>
    </row>
    <row r="254" spans="1:8">
      <c r="C254" s="41" t="s">
        <v>1</v>
      </c>
      <c r="D254" s="1">
        <v>2589.31</v>
      </c>
    </row>
    <row r="255" spans="1:8">
      <c r="C255" s="41" t="s">
        <v>2</v>
      </c>
      <c r="D255" s="1">
        <v>2508.87</v>
      </c>
    </row>
    <row r="256" spans="1:8">
      <c r="C256" s="41" t="s">
        <v>3</v>
      </c>
      <c r="D256" s="1">
        <v>2428.41</v>
      </c>
    </row>
    <row r="257" spans="3:4">
      <c r="C257" s="41" t="s">
        <v>4</v>
      </c>
      <c r="D257" s="1">
        <v>2364.0700000000002</v>
      </c>
    </row>
    <row r="258" spans="3:4">
      <c r="C258" s="41">
        <v>1</v>
      </c>
      <c r="D258" s="1">
        <v>2234.94</v>
      </c>
    </row>
    <row r="259" spans="3:4">
      <c r="C259" s="41">
        <v>2</v>
      </c>
      <c r="D259" s="1">
        <v>2187.5300000000002</v>
      </c>
    </row>
    <row r="260" spans="3:4" ht="15.75" customHeight="1">
      <c r="C260" s="41">
        <v>3</v>
      </c>
      <c r="D260" s="1">
        <v>2087.69</v>
      </c>
    </row>
    <row r="261" spans="3:4" ht="15.75" customHeight="1">
      <c r="C261" s="41">
        <v>4</v>
      </c>
      <c r="D261" s="1">
        <v>1963.82</v>
      </c>
    </row>
    <row r="262" spans="3:4" ht="15.75" customHeight="1">
      <c r="C262" s="41">
        <v>5</v>
      </c>
      <c r="D262" s="1">
        <v>1892.43</v>
      </c>
    </row>
    <row r="263" spans="3:4">
      <c r="C263" s="41">
        <v>6</v>
      </c>
      <c r="D263" s="1">
        <v>1717.38</v>
      </c>
    </row>
    <row r="264" spans="3:4">
      <c r="C264" s="41">
        <v>7</v>
      </c>
      <c r="D264" s="1">
        <v>1667.92</v>
      </c>
    </row>
    <row r="265" spans="3:4">
      <c r="C265" s="41">
        <v>8</v>
      </c>
      <c r="D265" s="1">
        <v>1570.34</v>
      </c>
    </row>
    <row r="266" spans="3:4">
      <c r="C266" s="41">
        <v>9</v>
      </c>
      <c r="D266" s="1">
        <v>1454.83</v>
      </c>
    </row>
    <row r="267" spans="3:4">
      <c r="C267" s="41">
        <v>10</v>
      </c>
      <c r="D267" s="1">
        <v>1424.81</v>
      </c>
    </row>
    <row r="268" spans="3:4">
      <c r="C268" s="41">
        <v>11</v>
      </c>
      <c r="D268" s="1">
        <v>1376.89</v>
      </c>
    </row>
    <row r="269" spans="3:4">
      <c r="C269" s="41">
        <v>12</v>
      </c>
      <c r="D269" s="1">
        <v>1350.16</v>
      </c>
    </row>
    <row r="270" spans="3:4">
      <c r="C270" s="41">
        <v>13</v>
      </c>
      <c r="D270" s="1">
        <v>1321.14</v>
      </c>
    </row>
    <row r="271" spans="3:4">
      <c r="C271" s="41">
        <v>14</v>
      </c>
      <c r="D271" s="1">
        <v>1309.8</v>
      </c>
    </row>
    <row r="272" spans="3:4">
      <c r="C272" s="41">
        <v>15</v>
      </c>
      <c r="D272" s="1">
        <v>1299.21</v>
      </c>
    </row>
    <row r="273" spans="2:8">
      <c r="C273" s="41">
        <v>16</v>
      </c>
      <c r="D273" s="1">
        <v>1285.07</v>
      </c>
    </row>
    <row r="274" spans="2:8">
      <c r="C274" s="41">
        <v>17</v>
      </c>
      <c r="D274" s="1">
        <v>1275.99</v>
      </c>
    </row>
    <row r="275" spans="2:8">
      <c r="C275" s="41">
        <v>18</v>
      </c>
      <c r="D275" s="1">
        <v>1266.4100000000001</v>
      </c>
    </row>
    <row r="276" spans="2:8">
      <c r="C276" s="41">
        <v>19</v>
      </c>
      <c r="D276" s="1">
        <v>1258.08</v>
      </c>
    </row>
    <row r="277" spans="2:8">
      <c r="C277" s="41">
        <v>20</v>
      </c>
      <c r="D277" s="1">
        <v>1224.28</v>
      </c>
    </row>
    <row r="278" spans="2:8">
      <c r="C278" s="41">
        <v>21</v>
      </c>
      <c r="D278" s="1">
        <v>1216.95</v>
      </c>
    </row>
    <row r="279" spans="2:8">
      <c r="C279" s="41">
        <v>22</v>
      </c>
      <c r="D279" s="1">
        <v>1202.6300000000001</v>
      </c>
    </row>
    <row r="280" spans="2:8">
      <c r="C280" s="41">
        <v>23</v>
      </c>
      <c r="D280" s="1">
        <v>1195.82</v>
      </c>
    </row>
    <row r="283" spans="2:8" ht="19">
      <c r="B283" s="119"/>
      <c r="C283" s="119"/>
      <c r="D283" s="119"/>
      <c r="E283" s="119"/>
      <c r="F283" s="119"/>
      <c r="G283" s="119"/>
      <c r="H283" s="119"/>
    </row>
    <row r="285" spans="2:8">
      <c r="C285" s="81" t="s">
        <v>170</v>
      </c>
    </row>
  </sheetData>
  <mergeCells count="31">
    <mergeCell ref="B283:H283"/>
    <mergeCell ref="B190:H190"/>
    <mergeCell ref="B88:H88"/>
    <mergeCell ref="F17:F19"/>
    <mergeCell ref="B250:H250"/>
    <mergeCell ref="B171:H171"/>
    <mergeCell ref="D123:H123"/>
    <mergeCell ref="B124:C124"/>
    <mergeCell ref="D140:H140"/>
    <mergeCell ref="B141:C141"/>
    <mergeCell ref="D157:H157"/>
    <mergeCell ref="G212:H216"/>
    <mergeCell ref="C175:C178"/>
    <mergeCell ref="D92:H92"/>
    <mergeCell ref="B92:C92"/>
    <mergeCell ref="B93:C93"/>
    <mergeCell ref="B94:C94"/>
    <mergeCell ref="B95:C95"/>
    <mergeCell ref="B96:C96"/>
    <mergeCell ref="B97:C97"/>
    <mergeCell ref="B98:C98"/>
    <mergeCell ref="B99:C99"/>
    <mergeCell ref="D106:H106"/>
    <mergeCell ref="B107:C107"/>
    <mergeCell ref="B158:C158"/>
    <mergeCell ref="G17:H18"/>
    <mergeCell ref="G19:H19"/>
    <mergeCell ref="I17:L19"/>
    <mergeCell ref="B2:E2"/>
    <mergeCell ref="D91:H91"/>
    <mergeCell ref="B3:E3"/>
  </mergeCells>
  <conditionalFormatting sqref="G19">
    <cfRule type="cellIs" dxfId="2" priority="1" operator="lessThan">
      <formula>162.5</formula>
    </cfRule>
    <cfRule type="cellIs" dxfId="1" priority="2" operator="greaterThan">
      <formula>162.5</formula>
    </cfRule>
    <cfRule type="cellIs" dxfId="0" priority="5" operator="equal">
      <formula>162.5</formula>
    </cfRule>
  </conditionalFormatting>
  <dataValidations count="1">
    <dataValidation type="list" allowBlank="1" showInputMessage="1" showErrorMessage="1" sqref="G252 D5" xr:uid="{F78F79A9-1681-47F6-8291-D40130FE1FD4}">
      <formula1>$C$254:$C$280</formula1>
    </dataValidation>
  </dataValidations>
  <hyperlinks>
    <hyperlink ref="C285" r:id="rId1" xr:uid="{4C18B2FF-9520-4E4F-9154-835661E35729}"/>
  </hyperlinks>
  <pageMargins left="0.7" right="0.7" top="0.75" bottom="0.75" header="0.3" footer="0.3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92FDDCE-8717-954E-91B6-FF62F23CB50F}">
          <x14:formula1>
            <xm:f>Temp!$I$4:$I$5</xm:f>
          </x14:formula1>
          <xm:sqref>D7</xm:sqref>
        </x14:dataValidation>
        <x14:dataValidation type="list" allowBlank="1" showInputMessage="1" showErrorMessage="1" xr:uid="{403AF0AC-A777-41AD-BFD3-F4740ABB7CE7}">
          <x14:formula1>
            <xm:f>Temp!$K$4:$K$9</xm:f>
          </x14:formula1>
          <xm:sqref>D9</xm:sqref>
        </x14:dataValidation>
        <x14:dataValidation type="list" allowBlank="1" showInputMessage="1" showErrorMessage="1" xr:uid="{946A4F17-889E-B34D-944C-01C59FCDDF42}">
          <x14:formula1>
            <xm:f>Temp!$J$3:$J$8</xm:f>
          </x14:formula1>
          <xm:sqref>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C18B-2157-2D4B-9734-7AE31C237C3D}">
  <dimension ref="B3:K11"/>
  <sheetViews>
    <sheetView workbookViewId="0">
      <selection activeCell="G17" sqref="G17"/>
    </sheetView>
  </sheetViews>
  <sheetFormatPr baseColWidth="10" defaultColWidth="11" defaultRowHeight="16"/>
  <cols>
    <col min="2" max="2" width="18.33203125" customWidth="1"/>
    <col min="4" max="5" width="13" customWidth="1"/>
    <col min="9" max="10" width="7.83203125" customWidth="1"/>
  </cols>
  <sheetData>
    <row r="3" spans="2:11" ht="17" thickBot="1">
      <c r="I3" s="125" t="s">
        <v>104</v>
      </c>
      <c r="J3" s="125"/>
      <c r="K3" s="125"/>
    </row>
    <row r="4" spans="2:11" ht="17" thickBot="1">
      <c r="B4" s="122" t="s">
        <v>18</v>
      </c>
      <c r="C4" s="123"/>
      <c r="D4" s="123"/>
      <c r="E4" s="124"/>
      <c r="I4" t="s">
        <v>45</v>
      </c>
      <c r="J4">
        <v>1</v>
      </c>
      <c r="K4">
        <v>5</v>
      </c>
    </row>
    <row r="5" spans="2:11">
      <c r="B5" s="6"/>
      <c r="C5" s="7" t="s">
        <v>25</v>
      </c>
      <c r="D5" s="7" t="s">
        <v>26</v>
      </c>
      <c r="E5" s="7" t="s">
        <v>27</v>
      </c>
      <c r="I5" t="s">
        <v>46</v>
      </c>
      <c r="J5">
        <v>2</v>
      </c>
      <c r="K5">
        <v>10</v>
      </c>
    </row>
    <row r="6" spans="2:11">
      <c r="B6" s="8" t="s">
        <v>19</v>
      </c>
      <c r="C6" s="6">
        <v>9</v>
      </c>
      <c r="D6" s="6">
        <v>0</v>
      </c>
      <c r="E6" s="6">
        <v>9</v>
      </c>
      <c r="J6">
        <v>3</v>
      </c>
      <c r="K6">
        <v>15</v>
      </c>
    </row>
    <row r="7" spans="2:11">
      <c r="B7" s="8" t="s">
        <v>20</v>
      </c>
      <c r="C7" s="6">
        <v>20</v>
      </c>
      <c r="D7" s="6">
        <v>0</v>
      </c>
      <c r="E7" s="6">
        <v>9</v>
      </c>
      <c r="J7">
        <v>4</v>
      </c>
      <c r="K7">
        <v>20</v>
      </c>
    </row>
    <row r="8" spans="2:11" ht="16" customHeight="1">
      <c r="B8" s="9" t="s">
        <v>21</v>
      </c>
      <c r="C8" s="6">
        <v>26</v>
      </c>
      <c r="D8" s="6">
        <v>26</v>
      </c>
      <c r="E8" s="6">
        <v>26</v>
      </c>
      <c r="J8">
        <v>5</v>
      </c>
      <c r="K8">
        <v>25</v>
      </c>
    </row>
    <row r="9" spans="2:11">
      <c r="B9" s="9" t="s">
        <v>22</v>
      </c>
      <c r="C9" s="6">
        <v>34</v>
      </c>
      <c r="D9" s="6">
        <v>34</v>
      </c>
      <c r="E9" s="6">
        <v>34</v>
      </c>
      <c r="K9">
        <v>30</v>
      </c>
    </row>
    <row r="10" spans="2:11">
      <c r="B10" s="9" t="s">
        <v>23</v>
      </c>
      <c r="C10" s="6">
        <v>39</v>
      </c>
      <c r="D10" s="6">
        <v>39</v>
      </c>
      <c r="E10" s="6">
        <v>39</v>
      </c>
    </row>
    <row r="11" spans="2:11">
      <c r="B11" s="9" t="s">
        <v>24</v>
      </c>
      <c r="C11" s="6">
        <v>44</v>
      </c>
      <c r="D11" s="6">
        <v>44</v>
      </c>
      <c r="E11" s="6">
        <v>44</v>
      </c>
    </row>
  </sheetData>
  <mergeCells count="2">
    <mergeCell ref="B4:E4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Calc</vt:lpstr>
      <vt:lpstr>Temp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Georgilas K</dc:creator>
  <cp:keywords/>
  <dc:description/>
  <cp:lastModifiedBy>Georgilas K.</cp:lastModifiedBy>
  <dcterms:created xsi:type="dcterms:W3CDTF">2026-02-12T07:52:53Z</dcterms:created>
  <dcterms:modified xsi:type="dcterms:W3CDTF">2026-02-23T15:51:24Z</dcterms:modified>
  <cp:category/>
</cp:coreProperties>
</file>